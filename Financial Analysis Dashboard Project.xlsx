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89994d7743288048/Desktop/"/>
    </mc:Choice>
  </mc:AlternateContent>
  <xr:revisionPtr revIDLastSave="0" documentId="8_{A9E275B1-8CFB-4500-9AAA-A9E3C156F2F8}" xr6:coauthVersionLast="47" xr6:coauthVersionMax="47" xr10:uidLastSave="{00000000-0000-0000-0000-000000000000}"/>
  <bookViews>
    <workbookView xWindow="-108" yWindow="-108" windowWidth="23256" windowHeight="12456" xr2:uid="{6DE8DF01-61FA-4765-A2EF-3DDC4FFF57DF}"/>
  </bookViews>
  <sheets>
    <sheet name="Dashboard" sheetId="6" r:id="rId1"/>
    <sheet name="Raw Data" sheetId="1" r:id="rId2"/>
    <sheet name="Budget" sheetId="2" r:id="rId3"/>
    <sheet name="Analysis" sheetId="3" r:id="rId4"/>
    <sheet name="Monthly Summary" sheetId="4" r:id="rId5"/>
    <sheet name="Pivot Summary" sheetId="5" r:id="rId6"/>
    <sheet name="Reconcilation" sheetId="7" r:id="rId7"/>
  </sheets>
  <definedNames>
    <definedName name="_xlcn.WorksheetConnection_FinancialPerformanceDashboardBudgetVarianceAnalysis.xlsxFinancialAnalysis" hidden="1">FinancialAnalysis[]</definedName>
    <definedName name="Slicer_Department">#N/A</definedName>
    <definedName name="Slicer_Month">#N/A</definedName>
    <definedName name="Slicer_Sales_Channel">#N/A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inancialAnalysis" name="FinancialAnalysis" connection="WorksheetConnection_Financial Performance Dashboard Budget Variance Analysis.xlsx!FinancialAnalysi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86" i="7" l="1"/>
  <c r="B85" i="7"/>
  <c r="B84" i="7"/>
  <c r="B44" i="7"/>
  <c r="B43" i="7"/>
  <c r="B42" i="7"/>
  <c r="B41" i="7"/>
  <c r="E34" i="7"/>
  <c r="D34" i="7"/>
  <c r="C34" i="7"/>
  <c r="B34" i="7"/>
  <c r="C35" i="7"/>
  <c r="D35" i="7"/>
  <c r="E35" i="7"/>
  <c r="B35" i="7"/>
  <c r="D27" i="7"/>
  <c r="C27" i="7"/>
  <c r="B27" i="7"/>
  <c r="D28" i="7"/>
  <c r="C28" i="7"/>
  <c r="B28" i="7"/>
  <c r="B21" i="7"/>
  <c r="B20" i="7"/>
  <c r="B14" i="7"/>
  <c r="B7" i="7"/>
  <c r="B79" i="7"/>
  <c r="B78" i="7"/>
  <c r="B72" i="7"/>
  <c r="B71" i="7"/>
  <c r="B70" i="7"/>
  <c r="B69" i="7"/>
  <c r="B68" i="7"/>
  <c r="B67" i="7"/>
  <c r="B61" i="7"/>
  <c r="B60" i="7"/>
  <c r="B59" i="7"/>
  <c r="B58" i="7"/>
  <c r="B52" i="7"/>
  <c r="B51" i="7"/>
  <c r="B50" i="7"/>
  <c r="B13" i="7"/>
  <c r="B6" i="7"/>
  <c r="H27" i="5"/>
  <c r="H28" i="5"/>
  <c r="H29" i="5"/>
  <c r="H30" i="5"/>
  <c r="H31" i="5"/>
  <c r="G28" i="5"/>
  <c r="G29" i="5"/>
  <c r="G30" i="5"/>
  <c r="G31" i="5"/>
  <c r="G27" i="5"/>
  <c r="D31" i="5"/>
  <c r="D30" i="5"/>
  <c r="D29" i="5"/>
  <c r="D28" i="5"/>
  <c r="D27" i="5"/>
  <c r="G22" i="5"/>
  <c r="H21" i="5"/>
  <c r="H20" i="5"/>
  <c r="H22" i="5"/>
  <c r="G20" i="5"/>
  <c r="G21" i="5"/>
  <c r="B22" i="7" l="1"/>
  <c r="B29" i="7"/>
  <c r="C29" i="7"/>
  <c r="D29" i="7"/>
  <c r="B36" i="7"/>
  <c r="C36" i="7"/>
  <c r="D36" i="7"/>
  <c r="E36" i="7"/>
  <c r="B45" i="7"/>
  <c r="B15" i="7"/>
  <c r="B73" i="7"/>
  <c r="B8" i="7"/>
  <c r="B53" i="7"/>
  <c r="B62" i="7"/>
  <c r="I27" i="5"/>
  <c r="I28" i="5"/>
  <c r="I29" i="5"/>
  <c r="I30" i="5"/>
  <c r="I31" i="5"/>
  <c r="G2" i="4" l="1"/>
  <c r="G3" i="4"/>
  <c r="G4" i="4"/>
  <c r="G5" i="4"/>
  <c r="G6" i="4"/>
  <c r="G7" i="4"/>
  <c r="G8" i="4"/>
  <c r="G9" i="4"/>
  <c r="G10" i="4"/>
  <c r="G11" i="4"/>
  <c r="G12" i="4"/>
  <c r="G13" i="4"/>
  <c r="E2" i="4"/>
  <c r="E3" i="4"/>
  <c r="E4" i="4"/>
  <c r="E5" i="4"/>
  <c r="E6" i="4"/>
  <c r="E7" i="4"/>
  <c r="E8" i="4"/>
  <c r="E9" i="4"/>
  <c r="E10" i="4"/>
  <c r="E11" i="4"/>
  <c r="E12" i="4"/>
  <c r="E13" i="4"/>
  <c r="D2" i="4"/>
  <c r="D3" i="4"/>
  <c r="D4" i="4"/>
  <c r="D5" i="4"/>
  <c r="D6" i="4"/>
  <c r="D7" i="4"/>
  <c r="D8" i="4"/>
  <c r="D9" i="4"/>
  <c r="D10" i="4"/>
  <c r="D11" i="4"/>
  <c r="D12" i="4"/>
  <c r="D13" i="4"/>
  <c r="C2" i="4"/>
  <c r="C3" i="4"/>
  <c r="C4" i="4"/>
  <c r="C5" i="4"/>
  <c r="C6" i="4"/>
  <c r="C7" i="4"/>
  <c r="C8" i="4"/>
  <c r="C9" i="4"/>
  <c r="C10" i="4"/>
  <c r="C11" i="4"/>
  <c r="C12" i="4"/>
  <c r="C13" i="4"/>
  <c r="B2" i="4"/>
  <c r="B3" i="4"/>
  <c r="B4" i="4"/>
  <c r="B5" i="4"/>
  <c r="B6" i="4"/>
  <c r="B7" i="4"/>
  <c r="B8" i="4"/>
  <c r="B9" i="4"/>
  <c r="B10" i="4"/>
  <c r="B11" i="4"/>
  <c r="B12" i="4"/>
  <c r="B13" i="4"/>
  <c r="R2"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Q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M2" i="3"/>
  <c r="O2" i="3" s="1"/>
  <c r="M3" i="3"/>
  <c r="O3" i="3" s="1"/>
  <c r="M4" i="3"/>
  <c r="O4" i="3" s="1"/>
  <c r="M5" i="3"/>
  <c r="O5" i="3" s="1"/>
  <c r="M6" i="3"/>
  <c r="O6" i="3" s="1"/>
  <c r="M7" i="3"/>
  <c r="O7" i="3" s="1"/>
  <c r="M8" i="3"/>
  <c r="O8" i="3" s="1"/>
  <c r="M9" i="3"/>
  <c r="O9" i="3" s="1"/>
  <c r="M10" i="3"/>
  <c r="O10" i="3" s="1"/>
  <c r="M11" i="3"/>
  <c r="O11" i="3" s="1"/>
  <c r="M12" i="3"/>
  <c r="O12" i="3" s="1"/>
  <c r="M13" i="3"/>
  <c r="O13" i="3" s="1"/>
  <c r="M14" i="3"/>
  <c r="O14" i="3" s="1"/>
  <c r="M15" i="3"/>
  <c r="O15" i="3" s="1"/>
  <c r="M16" i="3"/>
  <c r="O16" i="3" s="1"/>
  <c r="M17" i="3"/>
  <c r="O17" i="3" s="1"/>
  <c r="M18" i="3"/>
  <c r="O18" i="3" s="1"/>
  <c r="M19" i="3"/>
  <c r="O19" i="3" s="1"/>
  <c r="M20" i="3"/>
  <c r="O20" i="3" s="1"/>
  <c r="M21" i="3"/>
  <c r="O21" i="3" s="1"/>
  <c r="M22" i="3"/>
  <c r="O22" i="3" s="1"/>
  <c r="M23" i="3"/>
  <c r="O23" i="3" s="1"/>
  <c r="M24" i="3"/>
  <c r="O24" i="3" s="1"/>
  <c r="M25" i="3"/>
  <c r="O25" i="3" s="1"/>
  <c r="M26" i="3"/>
  <c r="O26" i="3" s="1"/>
  <c r="M27" i="3"/>
  <c r="O27" i="3" s="1"/>
  <c r="M28" i="3"/>
  <c r="O28" i="3" s="1"/>
  <c r="M29" i="3"/>
  <c r="O29" i="3" s="1"/>
  <c r="M30" i="3"/>
  <c r="O30" i="3" s="1"/>
  <c r="M31" i="3"/>
  <c r="O31" i="3" s="1"/>
  <c r="M32" i="3"/>
  <c r="O32" i="3" s="1"/>
  <c r="M33" i="3"/>
  <c r="O33" i="3" s="1"/>
  <c r="M34" i="3"/>
  <c r="O34" i="3" s="1"/>
  <c r="M35" i="3"/>
  <c r="O35" i="3" s="1"/>
  <c r="M36" i="3"/>
  <c r="O36" i="3" s="1"/>
  <c r="M37" i="3"/>
  <c r="O37" i="3" s="1"/>
  <c r="M38" i="3"/>
  <c r="O38" i="3" s="1"/>
  <c r="M39" i="3"/>
  <c r="O39" i="3" s="1"/>
  <c r="M40" i="3"/>
  <c r="O40" i="3" s="1"/>
  <c r="M41" i="3"/>
  <c r="O41" i="3" s="1"/>
  <c r="M42" i="3"/>
  <c r="O42" i="3" s="1"/>
  <c r="M43" i="3"/>
  <c r="O43" i="3" s="1"/>
  <c r="M44" i="3"/>
  <c r="O44" i="3" s="1"/>
  <c r="M45" i="3"/>
  <c r="O45" i="3" s="1"/>
  <c r="M46" i="3"/>
  <c r="O46" i="3" s="1"/>
  <c r="M47" i="3"/>
  <c r="O47" i="3" s="1"/>
  <c r="M48" i="3"/>
  <c r="O48" i="3" s="1"/>
  <c r="M49" i="3"/>
  <c r="O49" i="3" s="1"/>
  <c r="M50" i="3"/>
  <c r="O50" i="3" s="1"/>
  <c r="M51" i="3"/>
  <c r="O51" i="3" s="1"/>
  <c r="M52" i="3"/>
  <c r="O52" i="3" s="1"/>
  <c r="M53" i="3"/>
  <c r="O53" i="3" s="1"/>
  <c r="M54" i="3"/>
  <c r="O54" i="3" s="1"/>
  <c r="M55" i="3"/>
  <c r="O55" i="3" s="1"/>
  <c r="M56" i="3"/>
  <c r="O56" i="3" s="1"/>
  <c r="M57" i="3"/>
  <c r="O57" i="3" s="1"/>
  <c r="M58" i="3"/>
  <c r="O58" i="3" s="1"/>
  <c r="M59" i="3"/>
  <c r="O59" i="3" s="1"/>
  <c r="M60" i="3"/>
  <c r="O60" i="3" s="1"/>
  <c r="M61" i="3"/>
  <c r="O61" i="3" s="1"/>
  <c r="M62" i="3"/>
  <c r="O62" i="3" s="1"/>
  <c r="M63" i="3"/>
  <c r="O63" i="3" s="1"/>
  <c r="M64" i="3"/>
  <c r="O64" i="3" s="1"/>
  <c r="M65" i="3"/>
  <c r="O65" i="3" s="1"/>
  <c r="M66" i="3"/>
  <c r="O66" i="3" s="1"/>
  <c r="M67" i="3"/>
  <c r="O67" i="3" s="1"/>
  <c r="M68" i="3"/>
  <c r="O68" i="3" s="1"/>
  <c r="M69" i="3"/>
  <c r="O69" i="3" s="1"/>
  <c r="M70" i="3"/>
  <c r="O70" i="3" s="1"/>
  <c r="M71" i="3"/>
  <c r="O71" i="3" s="1"/>
  <c r="M72" i="3"/>
  <c r="O72" i="3" s="1"/>
  <c r="M73" i="3"/>
  <c r="O73" i="3" s="1"/>
  <c r="M74" i="3"/>
  <c r="O74" i="3" s="1"/>
  <c r="M75" i="3"/>
  <c r="O75" i="3" s="1"/>
  <c r="M76" i="3"/>
  <c r="O76" i="3" s="1"/>
  <c r="M77" i="3"/>
  <c r="O77" i="3" s="1"/>
  <c r="M78" i="3"/>
  <c r="O78" i="3" s="1"/>
  <c r="M79" i="3"/>
  <c r="O79" i="3" s="1"/>
  <c r="M80" i="3"/>
  <c r="O80" i="3" s="1"/>
  <c r="M81" i="3"/>
  <c r="O81" i="3" s="1"/>
  <c r="M82" i="3"/>
  <c r="O82" i="3" s="1"/>
  <c r="M83" i="3"/>
  <c r="O83" i="3" s="1"/>
  <c r="M84" i="3"/>
  <c r="O84" i="3" s="1"/>
  <c r="M85" i="3"/>
  <c r="O85" i="3" s="1"/>
  <c r="M86" i="3"/>
  <c r="O86" i="3" s="1"/>
  <c r="M87" i="3"/>
  <c r="O87" i="3" s="1"/>
  <c r="M88" i="3"/>
  <c r="O88" i="3" s="1"/>
  <c r="M89" i="3"/>
  <c r="O89" i="3" s="1"/>
  <c r="M90" i="3"/>
  <c r="O90" i="3" s="1"/>
  <c r="M91" i="3"/>
  <c r="O91" i="3" s="1"/>
  <c r="M92" i="3"/>
  <c r="O92" i="3" s="1"/>
  <c r="M93" i="3"/>
  <c r="O93" i="3" s="1"/>
  <c r="M94" i="3"/>
  <c r="O94" i="3" s="1"/>
  <c r="M95" i="3"/>
  <c r="O95" i="3" s="1"/>
  <c r="M96" i="3"/>
  <c r="O96" i="3" s="1"/>
  <c r="M97" i="3"/>
  <c r="O97" i="3" s="1"/>
  <c r="M98" i="3"/>
  <c r="O98" i="3" s="1"/>
  <c r="M99" i="3"/>
  <c r="O99" i="3" s="1"/>
  <c r="M100" i="3"/>
  <c r="O100" i="3" s="1"/>
  <c r="M101" i="3"/>
  <c r="O101" i="3" s="1"/>
  <c r="M102" i="3"/>
  <c r="O102" i="3" s="1"/>
  <c r="M103" i="3"/>
  <c r="O103" i="3" s="1"/>
  <c r="M104" i="3"/>
  <c r="O104" i="3" s="1"/>
  <c r="M105" i="3"/>
  <c r="O105" i="3" s="1"/>
  <c r="M106" i="3"/>
  <c r="O106" i="3" s="1"/>
  <c r="M107" i="3"/>
  <c r="O107" i="3" s="1"/>
  <c r="M108" i="3"/>
  <c r="O108" i="3" s="1"/>
  <c r="M109" i="3"/>
  <c r="O109" i="3" s="1"/>
  <c r="M110" i="3"/>
  <c r="O110" i="3" s="1"/>
  <c r="M111" i="3"/>
  <c r="O111" i="3" s="1"/>
  <c r="M112" i="3"/>
  <c r="O112" i="3" s="1"/>
  <c r="M113" i="3"/>
  <c r="O113" i="3" s="1"/>
  <c r="M114" i="3"/>
  <c r="O114" i="3" s="1"/>
  <c r="M115" i="3"/>
  <c r="O115" i="3" s="1"/>
  <c r="M116" i="3"/>
  <c r="O116" i="3" s="1"/>
  <c r="M117" i="3"/>
  <c r="O117" i="3" s="1"/>
  <c r="M118" i="3"/>
  <c r="O118" i="3" s="1"/>
  <c r="M119" i="3"/>
  <c r="O119" i="3" s="1"/>
  <c r="M120" i="3"/>
  <c r="O120" i="3" s="1"/>
  <c r="M121" i="3"/>
  <c r="O121" i="3" s="1"/>
  <c r="M122" i="3"/>
  <c r="O122" i="3" s="1"/>
  <c r="M123" i="3"/>
  <c r="O123" i="3" s="1"/>
  <c r="M124" i="3"/>
  <c r="O124" i="3" s="1"/>
  <c r="M125" i="3"/>
  <c r="O125" i="3" s="1"/>
  <c r="M126" i="3"/>
  <c r="O126" i="3" s="1"/>
  <c r="M127" i="3"/>
  <c r="O127" i="3" s="1"/>
  <c r="M128" i="3"/>
  <c r="O128" i="3" s="1"/>
  <c r="M129" i="3"/>
  <c r="O129" i="3" s="1"/>
  <c r="M130" i="3"/>
  <c r="O130" i="3" s="1"/>
  <c r="M131" i="3"/>
  <c r="O131" i="3" s="1"/>
  <c r="M132" i="3"/>
  <c r="O132" i="3" s="1"/>
  <c r="M133" i="3"/>
  <c r="O133" i="3" s="1"/>
  <c r="M134" i="3"/>
  <c r="O134" i="3" s="1"/>
  <c r="M135" i="3"/>
  <c r="O135" i="3" s="1"/>
  <c r="M136" i="3"/>
  <c r="O136" i="3" s="1"/>
  <c r="M137" i="3"/>
  <c r="O137" i="3" s="1"/>
  <c r="M138" i="3"/>
  <c r="O138" i="3" s="1"/>
  <c r="M139" i="3"/>
  <c r="O139" i="3" s="1"/>
  <c r="M140" i="3"/>
  <c r="O140" i="3" s="1"/>
  <c r="M141" i="3"/>
  <c r="O141" i="3" s="1"/>
  <c r="M142" i="3"/>
  <c r="O142" i="3" s="1"/>
  <c r="M143" i="3"/>
  <c r="O143" i="3" s="1"/>
  <c r="M144" i="3"/>
  <c r="O144" i="3" s="1"/>
  <c r="M145" i="3"/>
  <c r="O145" i="3" s="1"/>
  <c r="M146" i="3"/>
  <c r="O146" i="3" s="1"/>
  <c r="M147" i="3"/>
  <c r="O147" i="3" s="1"/>
  <c r="M148" i="3"/>
  <c r="O148" i="3" s="1"/>
  <c r="M149" i="3"/>
  <c r="O149" i="3" s="1"/>
  <c r="M150" i="3"/>
  <c r="O150" i="3" s="1"/>
  <c r="M151" i="3"/>
  <c r="O151" i="3" s="1"/>
  <c r="M152" i="3"/>
  <c r="O152" i="3" s="1"/>
  <c r="M153" i="3"/>
  <c r="O153" i="3" s="1"/>
  <c r="M154" i="3"/>
  <c r="O154" i="3" s="1"/>
  <c r="M155" i="3"/>
  <c r="O155" i="3" s="1"/>
  <c r="M156" i="3"/>
  <c r="O156" i="3" s="1"/>
  <c r="M157" i="3"/>
  <c r="O157" i="3" s="1"/>
  <c r="M158" i="3"/>
  <c r="O158" i="3" s="1"/>
  <c r="M159" i="3"/>
  <c r="O159" i="3" s="1"/>
  <c r="M160" i="3"/>
  <c r="O160" i="3" s="1"/>
  <c r="M161" i="3"/>
  <c r="O161" i="3" s="1"/>
  <c r="M162" i="3"/>
  <c r="O162" i="3" s="1"/>
  <c r="M163" i="3"/>
  <c r="O163" i="3" s="1"/>
  <c r="M164" i="3"/>
  <c r="O164" i="3" s="1"/>
  <c r="M165" i="3"/>
  <c r="O165" i="3" s="1"/>
  <c r="M166" i="3"/>
  <c r="O166" i="3" s="1"/>
  <c r="M167" i="3"/>
  <c r="O167" i="3" s="1"/>
  <c r="M168" i="3"/>
  <c r="O168" i="3" s="1"/>
  <c r="M169" i="3"/>
  <c r="O169" i="3" s="1"/>
  <c r="M170" i="3"/>
  <c r="O170" i="3" s="1"/>
  <c r="M171" i="3"/>
  <c r="O171" i="3" s="1"/>
  <c r="M172" i="3"/>
  <c r="O172" i="3" s="1"/>
  <c r="M173" i="3"/>
  <c r="O173" i="3" s="1"/>
  <c r="M174" i="3"/>
  <c r="O174" i="3" s="1"/>
  <c r="M175" i="3"/>
  <c r="O175" i="3" s="1"/>
  <c r="M176" i="3"/>
  <c r="O176" i="3" s="1"/>
  <c r="M177" i="3"/>
  <c r="O177" i="3" s="1"/>
  <c r="M178" i="3"/>
  <c r="O178" i="3" s="1"/>
  <c r="M179" i="3"/>
  <c r="O179" i="3" s="1"/>
  <c r="M180" i="3"/>
  <c r="O180" i="3" s="1"/>
  <c r="M181" i="3"/>
  <c r="O181" i="3" s="1"/>
  <c r="L2" i="3"/>
  <c r="N2" i="3" s="1"/>
  <c r="P2" i="3" s="1"/>
  <c r="L3" i="3"/>
  <c r="N3" i="3" s="1"/>
  <c r="P3" i="3" s="1"/>
  <c r="L4" i="3"/>
  <c r="N4" i="3" s="1"/>
  <c r="L5" i="3"/>
  <c r="N5" i="3" s="1"/>
  <c r="P5" i="3" s="1"/>
  <c r="L6" i="3"/>
  <c r="N6" i="3" s="1"/>
  <c r="P6" i="3" s="1"/>
  <c r="L7" i="3"/>
  <c r="N7" i="3" s="1"/>
  <c r="P7" i="3" s="1"/>
  <c r="L8" i="3"/>
  <c r="N8" i="3" s="1"/>
  <c r="P8" i="3" s="1"/>
  <c r="L9" i="3"/>
  <c r="N9" i="3" s="1"/>
  <c r="P9" i="3" s="1"/>
  <c r="L10" i="3"/>
  <c r="N10" i="3" s="1"/>
  <c r="P10" i="3" s="1"/>
  <c r="L11" i="3"/>
  <c r="N11" i="3" s="1"/>
  <c r="P11" i="3" s="1"/>
  <c r="L12" i="3"/>
  <c r="N12" i="3" s="1"/>
  <c r="P12" i="3" s="1"/>
  <c r="L13" i="3"/>
  <c r="N13" i="3" s="1"/>
  <c r="P13" i="3" s="1"/>
  <c r="L14" i="3"/>
  <c r="N14" i="3" s="1"/>
  <c r="P14" i="3" s="1"/>
  <c r="L15" i="3"/>
  <c r="N15" i="3" s="1"/>
  <c r="P15" i="3" s="1"/>
  <c r="L16" i="3"/>
  <c r="N16" i="3" s="1"/>
  <c r="L17" i="3"/>
  <c r="N17" i="3" s="1"/>
  <c r="P17" i="3" s="1"/>
  <c r="L18" i="3"/>
  <c r="L19" i="3"/>
  <c r="N19" i="3" s="1"/>
  <c r="P19" i="3" s="1"/>
  <c r="L20" i="3"/>
  <c r="N20" i="3" s="1"/>
  <c r="P20" i="3" s="1"/>
  <c r="L21" i="3"/>
  <c r="L22" i="3"/>
  <c r="N22" i="3" s="1"/>
  <c r="P22" i="3" s="1"/>
  <c r="L23" i="3"/>
  <c r="N23" i="3" s="1"/>
  <c r="P23" i="3" s="1"/>
  <c r="L24" i="3"/>
  <c r="N24" i="3" s="1"/>
  <c r="P24" i="3" s="1"/>
  <c r="L25" i="3"/>
  <c r="N25" i="3" s="1"/>
  <c r="P25" i="3" s="1"/>
  <c r="L26" i="3"/>
  <c r="N26" i="3" s="1"/>
  <c r="P26" i="3" s="1"/>
  <c r="L27" i="3"/>
  <c r="N27" i="3" s="1"/>
  <c r="P27" i="3" s="1"/>
  <c r="L28" i="3"/>
  <c r="N28" i="3" s="1"/>
  <c r="P28" i="3" s="1"/>
  <c r="L29" i="3"/>
  <c r="N29" i="3" s="1"/>
  <c r="P29" i="3" s="1"/>
  <c r="L30" i="3"/>
  <c r="N30" i="3" s="1"/>
  <c r="P30" i="3" s="1"/>
  <c r="L31" i="3"/>
  <c r="N31" i="3" s="1"/>
  <c r="P31" i="3" s="1"/>
  <c r="L32" i="3"/>
  <c r="N32" i="3" s="1"/>
  <c r="P32" i="3" s="1"/>
  <c r="L33" i="3"/>
  <c r="N33" i="3" s="1"/>
  <c r="P33" i="3" s="1"/>
  <c r="L34" i="3"/>
  <c r="N34" i="3" s="1"/>
  <c r="P34" i="3" s="1"/>
  <c r="L35" i="3"/>
  <c r="N35" i="3" s="1"/>
  <c r="P35" i="3" s="1"/>
  <c r="L36" i="3"/>
  <c r="N36" i="3" s="1"/>
  <c r="L37" i="3"/>
  <c r="L38" i="3"/>
  <c r="N38" i="3" s="1"/>
  <c r="P38" i="3" s="1"/>
  <c r="L39" i="3"/>
  <c r="N39" i="3" s="1"/>
  <c r="P39" i="3" s="1"/>
  <c r="L40" i="3"/>
  <c r="N40" i="3" s="1"/>
  <c r="P40" i="3" s="1"/>
  <c r="L41" i="3"/>
  <c r="N41" i="3" s="1"/>
  <c r="P41" i="3" s="1"/>
  <c r="L42" i="3"/>
  <c r="N42" i="3" s="1"/>
  <c r="P42" i="3" s="1"/>
  <c r="L43" i="3"/>
  <c r="N43" i="3" s="1"/>
  <c r="P43" i="3" s="1"/>
  <c r="L44" i="3"/>
  <c r="N44" i="3" s="1"/>
  <c r="L45" i="3"/>
  <c r="N45" i="3" s="1"/>
  <c r="P45" i="3" s="1"/>
  <c r="L46" i="3"/>
  <c r="N46" i="3" s="1"/>
  <c r="P46" i="3" s="1"/>
  <c r="L47" i="3"/>
  <c r="N47" i="3" s="1"/>
  <c r="P47" i="3" s="1"/>
  <c r="L48" i="3"/>
  <c r="N48" i="3" s="1"/>
  <c r="P48" i="3" s="1"/>
  <c r="L49" i="3"/>
  <c r="L50" i="3"/>
  <c r="N50" i="3" s="1"/>
  <c r="P50" i="3" s="1"/>
  <c r="L51" i="3"/>
  <c r="N51" i="3" s="1"/>
  <c r="P51" i="3" s="1"/>
  <c r="L52" i="3"/>
  <c r="N52" i="3" s="1"/>
  <c r="P52" i="3" s="1"/>
  <c r="L53" i="3"/>
  <c r="N53" i="3" s="1"/>
  <c r="P53" i="3" s="1"/>
  <c r="L54" i="3"/>
  <c r="N54" i="3" s="1"/>
  <c r="P54" i="3" s="1"/>
  <c r="L55" i="3"/>
  <c r="N55" i="3" s="1"/>
  <c r="P55" i="3" s="1"/>
  <c r="L56" i="3"/>
  <c r="N56" i="3" s="1"/>
  <c r="L57" i="3"/>
  <c r="N57" i="3" s="1"/>
  <c r="P57" i="3" s="1"/>
  <c r="L58" i="3"/>
  <c r="N58" i="3" s="1"/>
  <c r="P58" i="3" s="1"/>
  <c r="L59" i="3"/>
  <c r="L60" i="3"/>
  <c r="N60" i="3" s="1"/>
  <c r="P60" i="3" s="1"/>
  <c r="L61" i="3"/>
  <c r="N61" i="3" s="1"/>
  <c r="P61" i="3" s="1"/>
  <c r="L62" i="3"/>
  <c r="N62" i="3" s="1"/>
  <c r="P62" i="3" s="1"/>
  <c r="L63" i="3"/>
  <c r="N63" i="3" s="1"/>
  <c r="P63" i="3" s="1"/>
  <c r="L64" i="3"/>
  <c r="N64" i="3" s="1"/>
  <c r="L65" i="3"/>
  <c r="N65" i="3" s="1"/>
  <c r="P65" i="3" s="1"/>
  <c r="L66" i="3"/>
  <c r="N66" i="3" s="1"/>
  <c r="P66" i="3" s="1"/>
  <c r="L67" i="3"/>
  <c r="N67" i="3" s="1"/>
  <c r="P67" i="3" s="1"/>
  <c r="L68" i="3"/>
  <c r="N68" i="3" s="1"/>
  <c r="P68" i="3" s="1"/>
  <c r="L69" i="3"/>
  <c r="N69" i="3" s="1"/>
  <c r="P69" i="3" s="1"/>
  <c r="L70" i="3"/>
  <c r="N70" i="3" s="1"/>
  <c r="P70" i="3" s="1"/>
  <c r="L71" i="3"/>
  <c r="N71" i="3" s="1"/>
  <c r="P71" i="3" s="1"/>
  <c r="L72" i="3"/>
  <c r="N72" i="3" s="1"/>
  <c r="P72" i="3" s="1"/>
  <c r="L73" i="3"/>
  <c r="N73" i="3" s="1"/>
  <c r="P73" i="3" s="1"/>
  <c r="L74" i="3"/>
  <c r="N74" i="3" s="1"/>
  <c r="P74" i="3" s="1"/>
  <c r="L75" i="3"/>
  <c r="N75" i="3" s="1"/>
  <c r="P75" i="3" s="1"/>
  <c r="L76" i="3"/>
  <c r="N76" i="3" s="1"/>
  <c r="L77" i="3"/>
  <c r="N77" i="3" s="1"/>
  <c r="P77" i="3" s="1"/>
  <c r="L78" i="3"/>
  <c r="L79" i="3"/>
  <c r="N79" i="3" s="1"/>
  <c r="P79" i="3" s="1"/>
  <c r="L80" i="3"/>
  <c r="N80" i="3" s="1"/>
  <c r="P80" i="3" s="1"/>
  <c r="L81" i="3"/>
  <c r="N81" i="3" s="1"/>
  <c r="P81" i="3" s="1"/>
  <c r="L82" i="3"/>
  <c r="N82" i="3" s="1"/>
  <c r="P82" i="3" s="1"/>
  <c r="L83" i="3"/>
  <c r="N83" i="3" s="1"/>
  <c r="P83" i="3" s="1"/>
  <c r="L84" i="3"/>
  <c r="L85" i="3"/>
  <c r="N85" i="3" s="1"/>
  <c r="P85" i="3" s="1"/>
  <c r="L86" i="3"/>
  <c r="N86" i="3" s="1"/>
  <c r="P86" i="3" s="1"/>
  <c r="L87" i="3"/>
  <c r="N87" i="3" s="1"/>
  <c r="P87" i="3" s="1"/>
  <c r="L88" i="3"/>
  <c r="N88" i="3" s="1"/>
  <c r="P88" i="3" s="1"/>
  <c r="L89" i="3"/>
  <c r="N89" i="3" s="1"/>
  <c r="P89" i="3" s="1"/>
  <c r="L90" i="3"/>
  <c r="N90" i="3" s="1"/>
  <c r="P90" i="3" s="1"/>
  <c r="L91" i="3"/>
  <c r="L92" i="3"/>
  <c r="N92" i="3" s="1"/>
  <c r="P92" i="3" s="1"/>
  <c r="L93" i="3"/>
  <c r="N93" i="3" s="1"/>
  <c r="P93" i="3" s="1"/>
  <c r="L94" i="3"/>
  <c r="N94" i="3" s="1"/>
  <c r="P94" i="3" s="1"/>
  <c r="L95" i="3"/>
  <c r="N95" i="3" s="1"/>
  <c r="L96" i="3"/>
  <c r="N96" i="3" s="1"/>
  <c r="L97" i="3"/>
  <c r="L98" i="3"/>
  <c r="N98" i="3" s="1"/>
  <c r="P98" i="3" s="1"/>
  <c r="L99" i="3"/>
  <c r="N99" i="3" s="1"/>
  <c r="P99" i="3" s="1"/>
  <c r="L100" i="3"/>
  <c r="N100" i="3" s="1"/>
  <c r="P100" i="3" s="1"/>
  <c r="L101" i="3"/>
  <c r="L102" i="3"/>
  <c r="N102" i="3" s="1"/>
  <c r="P102" i="3" s="1"/>
  <c r="L103" i="3"/>
  <c r="N103" i="3" s="1"/>
  <c r="P103" i="3" s="1"/>
  <c r="L104" i="3"/>
  <c r="N104" i="3" s="1"/>
  <c r="L105" i="3"/>
  <c r="N105" i="3" s="1"/>
  <c r="P105" i="3" s="1"/>
  <c r="L106" i="3"/>
  <c r="N106" i="3" s="1"/>
  <c r="P106" i="3" s="1"/>
  <c r="L107" i="3"/>
  <c r="N107" i="3" s="1"/>
  <c r="P107" i="3" s="1"/>
  <c r="L108" i="3"/>
  <c r="N108" i="3" s="1"/>
  <c r="P108" i="3" s="1"/>
  <c r="L109" i="3"/>
  <c r="N109" i="3" s="1"/>
  <c r="P109" i="3" s="1"/>
  <c r="L110" i="3"/>
  <c r="N110" i="3" s="1"/>
  <c r="P110" i="3" s="1"/>
  <c r="L111" i="3"/>
  <c r="N111" i="3" s="1"/>
  <c r="P111" i="3" s="1"/>
  <c r="L112" i="3"/>
  <c r="N112" i="3" s="1"/>
  <c r="P112" i="3" s="1"/>
  <c r="L113" i="3"/>
  <c r="N113" i="3" s="1"/>
  <c r="P113" i="3" s="1"/>
  <c r="L114" i="3"/>
  <c r="L115" i="3"/>
  <c r="N115" i="3" s="1"/>
  <c r="P115" i="3" s="1"/>
  <c r="L116" i="3"/>
  <c r="N116" i="3" s="1"/>
  <c r="P116" i="3" s="1"/>
  <c r="L117" i="3"/>
  <c r="N117" i="3" s="1"/>
  <c r="P117" i="3" s="1"/>
  <c r="L118" i="3"/>
  <c r="N118" i="3" s="1"/>
  <c r="P118" i="3" s="1"/>
  <c r="L119" i="3"/>
  <c r="L120" i="3"/>
  <c r="L121" i="3"/>
  <c r="N121" i="3" s="1"/>
  <c r="P121" i="3" s="1"/>
  <c r="L122" i="3"/>
  <c r="N122" i="3" s="1"/>
  <c r="P122" i="3" s="1"/>
  <c r="L123" i="3"/>
  <c r="N123" i="3" s="1"/>
  <c r="P123" i="3" s="1"/>
  <c r="L124" i="3"/>
  <c r="N124" i="3" s="1"/>
  <c r="L125" i="3"/>
  <c r="N125" i="3" s="1"/>
  <c r="P125" i="3" s="1"/>
  <c r="L126" i="3"/>
  <c r="N126" i="3" s="1"/>
  <c r="P126" i="3" s="1"/>
  <c r="L127" i="3"/>
  <c r="N127" i="3" s="1"/>
  <c r="P127" i="3" s="1"/>
  <c r="L128" i="3"/>
  <c r="N128" i="3" s="1"/>
  <c r="P128" i="3" s="1"/>
  <c r="L129" i="3"/>
  <c r="N129" i="3" s="1"/>
  <c r="P129" i="3" s="1"/>
  <c r="L130" i="3"/>
  <c r="N130" i="3" s="1"/>
  <c r="P130" i="3" s="1"/>
  <c r="L131" i="3"/>
  <c r="N131" i="3" s="1"/>
  <c r="P131" i="3" s="1"/>
  <c r="L132" i="3"/>
  <c r="N132" i="3" s="1"/>
  <c r="P132" i="3" s="1"/>
  <c r="L133" i="3"/>
  <c r="N133" i="3" s="1"/>
  <c r="P133" i="3" s="1"/>
  <c r="L134" i="3"/>
  <c r="N134" i="3" s="1"/>
  <c r="P134" i="3" s="1"/>
  <c r="L135" i="3"/>
  <c r="N135" i="3" s="1"/>
  <c r="P135" i="3" s="1"/>
  <c r="L136" i="3"/>
  <c r="N136" i="3" s="1"/>
  <c r="L137" i="3"/>
  <c r="L138" i="3"/>
  <c r="N138" i="3" s="1"/>
  <c r="P138" i="3" s="1"/>
  <c r="L139" i="3"/>
  <c r="N139" i="3" s="1"/>
  <c r="P139" i="3" s="1"/>
  <c r="L140" i="3"/>
  <c r="L141" i="3"/>
  <c r="N141" i="3" s="1"/>
  <c r="P141" i="3" s="1"/>
  <c r="L142" i="3"/>
  <c r="N142" i="3" s="1"/>
  <c r="P142" i="3" s="1"/>
  <c r="L143" i="3"/>
  <c r="N143" i="3" s="1"/>
  <c r="P143" i="3" s="1"/>
  <c r="L144" i="3"/>
  <c r="N144" i="3" s="1"/>
  <c r="L145" i="3"/>
  <c r="N145" i="3" s="1"/>
  <c r="P145" i="3" s="1"/>
  <c r="L146" i="3"/>
  <c r="N146" i="3" s="1"/>
  <c r="P146" i="3" s="1"/>
  <c r="L147" i="3"/>
  <c r="N147" i="3" s="1"/>
  <c r="P147" i="3" s="1"/>
  <c r="L148" i="3"/>
  <c r="N148" i="3" s="1"/>
  <c r="P148" i="3" s="1"/>
  <c r="L149" i="3"/>
  <c r="N149" i="3" s="1"/>
  <c r="P149" i="3" s="1"/>
  <c r="L150" i="3"/>
  <c r="N150" i="3" s="1"/>
  <c r="P150" i="3" s="1"/>
  <c r="L151" i="3"/>
  <c r="N151" i="3" s="1"/>
  <c r="P151" i="3" s="1"/>
  <c r="L152" i="3"/>
  <c r="N152" i="3" s="1"/>
  <c r="P152" i="3" s="1"/>
  <c r="L153" i="3"/>
  <c r="N153" i="3" s="1"/>
  <c r="P153" i="3" s="1"/>
  <c r="L154" i="3"/>
  <c r="N154" i="3" s="1"/>
  <c r="P154" i="3" s="1"/>
  <c r="L155" i="3"/>
  <c r="N155" i="3" s="1"/>
  <c r="P155" i="3" s="1"/>
  <c r="L156" i="3"/>
  <c r="N156" i="3" s="1"/>
  <c r="L157" i="3"/>
  <c r="N157" i="3" s="1"/>
  <c r="P157" i="3" s="1"/>
  <c r="L158" i="3"/>
  <c r="N158" i="3" s="1"/>
  <c r="P158" i="3" s="1"/>
  <c r="L159" i="3"/>
  <c r="L160" i="3"/>
  <c r="N160" i="3" s="1"/>
  <c r="P160" i="3" s="1"/>
  <c r="L161" i="3"/>
  <c r="N161" i="3" s="1"/>
  <c r="P161" i="3" s="1"/>
  <c r="L162" i="3"/>
  <c r="N162" i="3" s="1"/>
  <c r="P162" i="3" s="1"/>
  <c r="L163" i="3"/>
  <c r="N163" i="3" s="1"/>
  <c r="P163" i="3" s="1"/>
  <c r="L164" i="3"/>
  <c r="N164" i="3" s="1"/>
  <c r="L165" i="3"/>
  <c r="N165" i="3" s="1"/>
  <c r="P165" i="3" s="1"/>
  <c r="L166" i="3"/>
  <c r="N166" i="3" s="1"/>
  <c r="P166" i="3" s="1"/>
  <c r="L167" i="3"/>
  <c r="N167" i="3" s="1"/>
  <c r="P167" i="3" s="1"/>
  <c r="L168" i="3"/>
  <c r="N168" i="3" s="1"/>
  <c r="P168" i="3" s="1"/>
  <c r="L169" i="3"/>
  <c r="N169" i="3" s="1"/>
  <c r="P169" i="3" s="1"/>
  <c r="L170" i="3"/>
  <c r="N170" i="3" s="1"/>
  <c r="P170" i="3" s="1"/>
  <c r="L171" i="3"/>
  <c r="N171" i="3" s="1"/>
  <c r="P171" i="3" s="1"/>
  <c r="L172" i="3"/>
  <c r="N172" i="3" s="1"/>
  <c r="P172" i="3" s="1"/>
  <c r="L173" i="3"/>
  <c r="N173" i="3" s="1"/>
  <c r="P173" i="3" s="1"/>
  <c r="L174" i="3"/>
  <c r="N174" i="3" s="1"/>
  <c r="P174" i="3" s="1"/>
  <c r="L175" i="3"/>
  <c r="N175" i="3" s="1"/>
  <c r="P175" i="3" s="1"/>
  <c r="L176" i="3"/>
  <c r="N176" i="3" s="1"/>
  <c r="L177" i="3"/>
  <c r="N177" i="3" s="1"/>
  <c r="P177" i="3" s="1"/>
  <c r="L178" i="3"/>
  <c r="N178" i="3" s="1"/>
  <c r="P178" i="3" s="1"/>
  <c r="L179" i="3"/>
  <c r="N179" i="3" s="1"/>
  <c r="P179" i="3" s="1"/>
  <c r="L180" i="3"/>
  <c r="L181" i="3"/>
  <c r="N181" i="3" s="1"/>
  <c r="P181" i="3" s="1"/>
  <c r="N101" i="3" l="1"/>
  <c r="P101" i="3" s="1"/>
  <c r="N159" i="3"/>
  <c r="P159" i="3" s="1"/>
  <c r="N21" i="3"/>
  <c r="P21" i="3" s="1"/>
  <c r="N18" i="3"/>
  <c r="P18" i="3" s="1"/>
  <c r="N120" i="3"/>
  <c r="P120" i="3" s="1"/>
  <c r="N137" i="3"/>
  <c r="P137" i="3" s="1"/>
  <c r="N140" i="3"/>
  <c r="P140" i="3" s="1"/>
  <c r="N59" i="3"/>
  <c r="P59" i="3" s="1"/>
  <c r="N37" i="3"/>
  <c r="P37" i="3" s="1"/>
  <c r="N119" i="3"/>
  <c r="P119" i="3" s="1"/>
  <c r="T177" i="3"/>
  <c r="N97" i="3"/>
  <c r="F8" i="4" s="1"/>
  <c r="H8" i="4" s="1"/>
  <c r="I8" i="4" s="1"/>
  <c r="T116" i="3"/>
  <c r="T81" i="3"/>
  <c r="T57" i="3"/>
  <c r="T80" i="3"/>
  <c r="T77" i="3"/>
  <c r="T69" i="3"/>
  <c r="T50" i="3"/>
  <c r="T169" i="3"/>
  <c r="T161" i="3"/>
  <c r="T130" i="3"/>
  <c r="N84" i="3"/>
  <c r="T160" i="3"/>
  <c r="T129" i="3"/>
  <c r="S130" i="3"/>
  <c r="T170" i="3"/>
  <c r="T157" i="3"/>
  <c r="T29" i="3"/>
  <c r="T109" i="3"/>
  <c r="T141" i="3"/>
  <c r="T21" i="3"/>
  <c r="N49" i="3"/>
  <c r="N180" i="3"/>
  <c r="P180" i="3" s="1"/>
  <c r="T70" i="3"/>
  <c r="N78" i="3"/>
  <c r="P78" i="3" s="1"/>
  <c r="T20" i="3"/>
  <c r="T110" i="3"/>
  <c r="T140" i="3"/>
  <c r="T137" i="3"/>
  <c r="T17" i="3"/>
  <c r="P44" i="3"/>
  <c r="T44" i="3"/>
  <c r="P104" i="3"/>
  <c r="T104" i="3"/>
  <c r="T24" i="3"/>
  <c r="F10" i="4"/>
  <c r="H10" i="4" s="1"/>
  <c r="I10" i="4" s="1"/>
  <c r="P164" i="3"/>
  <c r="T164" i="3"/>
  <c r="P124" i="3"/>
  <c r="T124" i="3"/>
  <c r="P156" i="3"/>
  <c r="T156" i="3"/>
  <c r="P96" i="3"/>
  <c r="T96" i="3"/>
  <c r="P56" i="3"/>
  <c r="T56" i="3"/>
  <c r="P36" i="3"/>
  <c r="T36" i="3"/>
  <c r="P95" i="3"/>
  <c r="P144" i="3"/>
  <c r="T144" i="3"/>
  <c r="P4" i="3"/>
  <c r="T4" i="3"/>
  <c r="P176" i="3"/>
  <c r="T176" i="3"/>
  <c r="P136" i="3"/>
  <c r="T136" i="3"/>
  <c r="P76" i="3"/>
  <c r="T76" i="3"/>
  <c r="P16" i="3"/>
  <c r="T16" i="3"/>
  <c r="P64" i="3"/>
  <c r="T64" i="3"/>
  <c r="F6" i="4"/>
  <c r="H6" i="4" s="1"/>
  <c r="I6" i="4" s="1"/>
  <c r="T181" i="3"/>
  <c r="T10" i="3"/>
  <c r="T121" i="3"/>
  <c r="T9" i="3"/>
  <c r="F3" i="4"/>
  <c r="H3" i="4" s="1"/>
  <c r="I3" i="4" s="1"/>
  <c r="T61" i="3"/>
  <c r="T117" i="3"/>
  <c r="T60" i="3"/>
  <c r="T100" i="3"/>
  <c r="T41" i="3"/>
  <c r="T40" i="3"/>
  <c r="N114" i="3"/>
  <c r="T101" i="3"/>
  <c r="T150" i="3"/>
  <c r="T149" i="3"/>
  <c r="T90" i="3"/>
  <c r="F12" i="4"/>
  <c r="H12" i="4" s="1"/>
  <c r="I12" i="4" s="1"/>
  <c r="N91" i="3"/>
  <c r="P91" i="3" s="1"/>
  <c r="T89" i="3"/>
  <c r="T30" i="3"/>
  <c r="F11" i="4"/>
  <c r="H11" i="4" s="1"/>
  <c r="I11" i="4" s="1"/>
  <c r="F2" i="4"/>
  <c r="H2" i="4" s="1"/>
  <c r="I2" i="4" s="1"/>
  <c r="T179" i="3"/>
  <c r="T159" i="3"/>
  <c r="T139" i="3"/>
  <c r="T99" i="3"/>
  <c r="T79" i="3"/>
  <c r="T59" i="3"/>
  <c r="T39" i="3"/>
  <c r="T19" i="3"/>
  <c r="T178" i="3"/>
  <c r="T158" i="3"/>
  <c r="T138" i="3"/>
  <c r="T118" i="3"/>
  <c r="T98" i="3"/>
  <c r="T58" i="3"/>
  <c r="T38" i="3"/>
  <c r="T55" i="3"/>
  <c r="T154" i="3"/>
  <c r="T14" i="3"/>
  <c r="T173" i="3"/>
  <c r="T153" i="3"/>
  <c r="T133" i="3"/>
  <c r="T113" i="3"/>
  <c r="T93" i="3"/>
  <c r="T73" i="3"/>
  <c r="T53" i="3"/>
  <c r="T33" i="3"/>
  <c r="T13" i="3"/>
  <c r="T155" i="3"/>
  <c r="T135" i="3"/>
  <c r="T115" i="3"/>
  <c r="T95" i="3"/>
  <c r="T75" i="3"/>
  <c r="T35" i="3"/>
  <c r="T174" i="3"/>
  <c r="T134" i="3"/>
  <c r="T94" i="3"/>
  <c r="T74" i="3"/>
  <c r="T54" i="3"/>
  <c r="T34" i="3"/>
  <c r="T172" i="3"/>
  <c r="T152" i="3"/>
  <c r="T132" i="3"/>
  <c r="T112" i="3"/>
  <c r="T92" i="3"/>
  <c r="T72" i="3"/>
  <c r="T52" i="3"/>
  <c r="T32" i="3"/>
  <c r="T12" i="3"/>
  <c r="T175" i="3"/>
  <c r="T15" i="3"/>
  <c r="T171" i="3"/>
  <c r="T151" i="3"/>
  <c r="T131" i="3"/>
  <c r="T111" i="3"/>
  <c r="T71" i="3"/>
  <c r="T51" i="3"/>
  <c r="T31" i="3"/>
  <c r="T11" i="3"/>
  <c r="T168" i="3"/>
  <c r="T128" i="3"/>
  <c r="T88" i="3"/>
  <c r="T48" i="3"/>
  <c r="T147" i="3"/>
  <c r="T107" i="3"/>
  <c r="T27" i="3"/>
  <c r="T166" i="3"/>
  <c r="T146" i="3"/>
  <c r="T126" i="3"/>
  <c r="T106" i="3"/>
  <c r="T86" i="3"/>
  <c r="T66" i="3"/>
  <c r="T46" i="3"/>
  <c r="T26" i="3"/>
  <c r="T6" i="3"/>
  <c r="T148" i="3"/>
  <c r="T108" i="3"/>
  <c r="T68" i="3"/>
  <c r="T28" i="3"/>
  <c r="T167" i="3"/>
  <c r="T127" i="3"/>
  <c r="T87" i="3"/>
  <c r="T67" i="3"/>
  <c r="T47" i="3"/>
  <c r="T7" i="3"/>
  <c r="T165" i="3"/>
  <c r="T145" i="3"/>
  <c r="T125" i="3"/>
  <c r="T105" i="3"/>
  <c r="T85" i="3"/>
  <c r="T65" i="3"/>
  <c r="T45" i="3"/>
  <c r="T25" i="3"/>
  <c r="T5" i="3"/>
  <c r="T8" i="3"/>
  <c r="T163" i="3"/>
  <c r="T143" i="3"/>
  <c r="T123" i="3"/>
  <c r="T103" i="3"/>
  <c r="T83" i="3"/>
  <c r="T63" i="3"/>
  <c r="T43" i="3"/>
  <c r="T23" i="3"/>
  <c r="T3" i="3"/>
  <c r="S114" i="3"/>
  <c r="T162" i="3"/>
  <c r="T142" i="3"/>
  <c r="T122" i="3"/>
  <c r="T102" i="3"/>
  <c r="T82" i="3"/>
  <c r="T62" i="3"/>
  <c r="T42" i="3"/>
  <c r="T22" i="3"/>
  <c r="T2" i="3"/>
  <c r="S141" i="3"/>
  <c r="S40" i="3"/>
  <c r="S39" i="3"/>
  <c r="S20" i="3"/>
  <c r="S179" i="3"/>
  <c r="S159" i="3"/>
  <c r="S139" i="3"/>
  <c r="S119" i="3"/>
  <c r="S99" i="3"/>
  <c r="S79" i="3"/>
  <c r="S59" i="3"/>
  <c r="S19" i="3"/>
  <c r="S178" i="3"/>
  <c r="S158" i="3"/>
  <c r="S138" i="3"/>
  <c r="S118" i="3"/>
  <c r="S98" i="3"/>
  <c r="S78" i="3"/>
  <c r="S58" i="3"/>
  <c r="S38" i="3"/>
  <c r="S18" i="3"/>
  <c r="S181" i="3"/>
  <c r="S180" i="3"/>
  <c r="S137" i="3"/>
  <c r="S156" i="3"/>
  <c r="S115" i="3"/>
  <c r="S154" i="3"/>
  <c r="S113" i="3"/>
  <c r="S172" i="3"/>
  <c r="S152" i="3"/>
  <c r="S132" i="3"/>
  <c r="S112" i="3"/>
  <c r="S92" i="3"/>
  <c r="S72" i="3"/>
  <c r="S52" i="3"/>
  <c r="S32" i="3"/>
  <c r="S12" i="3"/>
  <c r="S171" i="3"/>
  <c r="S151" i="3"/>
  <c r="S131" i="3"/>
  <c r="S111" i="3"/>
  <c r="S91" i="3"/>
  <c r="S71" i="3"/>
  <c r="S51" i="3"/>
  <c r="S31" i="3"/>
  <c r="S11" i="3"/>
  <c r="S41" i="3"/>
  <c r="S60" i="3"/>
  <c r="S77" i="3"/>
  <c r="S176" i="3"/>
  <c r="S16" i="3"/>
  <c r="S35" i="3"/>
  <c r="S14" i="3"/>
  <c r="S53" i="3"/>
  <c r="S50" i="3"/>
  <c r="S169" i="3"/>
  <c r="S129" i="3"/>
  <c r="S9" i="3"/>
  <c r="S168" i="3"/>
  <c r="S148" i="3"/>
  <c r="S128" i="3"/>
  <c r="S108" i="3"/>
  <c r="S88" i="3"/>
  <c r="S68" i="3"/>
  <c r="S48" i="3"/>
  <c r="S28" i="3"/>
  <c r="S8" i="3"/>
  <c r="S101" i="3"/>
  <c r="S120" i="3"/>
  <c r="S37" i="3"/>
  <c r="S56" i="3"/>
  <c r="S175" i="3"/>
  <c r="S55" i="3"/>
  <c r="S94" i="3"/>
  <c r="S93" i="3"/>
  <c r="S170" i="3"/>
  <c r="S10" i="3"/>
  <c r="S49" i="3"/>
  <c r="S167" i="3"/>
  <c r="S147" i="3"/>
  <c r="S127" i="3"/>
  <c r="S107" i="3"/>
  <c r="S87" i="3"/>
  <c r="S67" i="3"/>
  <c r="S47" i="3"/>
  <c r="S27" i="3"/>
  <c r="S7" i="3"/>
  <c r="S61" i="3"/>
  <c r="S80" i="3"/>
  <c r="S177" i="3"/>
  <c r="S97" i="3"/>
  <c r="S116" i="3"/>
  <c r="S155" i="3"/>
  <c r="S135" i="3"/>
  <c r="S95" i="3"/>
  <c r="S34" i="3"/>
  <c r="S153" i="3"/>
  <c r="S73" i="3"/>
  <c r="S150" i="3"/>
  <c r="S30" i="3"/>
  <c r="S149" i="3"/>
  <c r="S29" i="3"/>
  <c r="S166" i="3"/>
  <c r="S146" i="3"/>
  <c r="S126" i="3"/>
  <c r="S106" i="3"/>
  <c r="S86" i="3"/>
  <c r="S66" i="3"/>
  <c r="S46" i="3"/>
  <c r="S26" i="3"/>
  <c r="S6" i="3"/>
  <c r="S121" i="3"/>
  <c r="S160" i="3"/>
  <c r="S117" i="3"/>
  <c r="S136" i="3"/>
  <c r="S134" i="3"/>
  <c r="S133" i="3"/>
  <c r="S110" i="3"/>
  <c r="S109" i="3"/>
  <c r="S165" i="3"/>
  <c r="S145" i="3"/>
  <c r="S125" i="3"/>
  <c r="S105" i="3"/>
  <c r="S85" i="3"/>
  <c r="S65" i="3"/>
  <c r="S45" i="3"/>
  <c r="S25" i="3"/>
  <c r="S5" i="3"/>
  <c r="S161" i="3"/>
  <c r="S96" i="3"/>
  <c r="S164" i="3"/>
  <c r="S144" i="3"/>
  <c r="S124" i="3"/>
  <c r="S104" i="3"/>
  <c r="S84" i="3"/>
  <c r="S64" i="3"/>
  <c r="S44" i="3"/>
  <c r="S24" i="3"/>
  <c r="S4" i="3"/>
  <c r="S21" i="3"/>
  <c r="S100" i="3"/>
  <c r="S157" i="3"/>
  <c r="S57" i="3"/>
  <c r="S36" i="3"/>
  <c r="S15" i="3"/>
  <c r="S174" i="3"/>
  <c r="S54" i="3"/>
  <c r="S173" i="3"/>
  <c r="S33" i="3"/>
  <c r="S90" i="3"/>
  <c r="S89" i="3"/>
  <c r="S163" i="3"/>
  <c r="S143" i="3"/>
  <c r="S123" i="3"/>
  <c r="S103" i="3"/>
  <c r="S83" i="3"/>
  <c r="S63" i="3"/>
  <c r="S43" i="3"/>
  <c r="S23" i="3"/>
  <c r="S3" i="3"/>
  <c r="S81" i="3"/>
  <c r="S140" i="3"/>
  <c r="S17" i="3"/>
  <c r="S76" i="3"/>
  <c r="S75" i="3"/>
  <c r="S74" i="3"/>
  <c r="S13" i="3"/>
  <c r="S70" i="3"/>
  <c r="S69" i="3"/>
  <c r="S162" i="3"/>
  <c r="S142" i="3"/>
  <c r="S122" i="3"/>
  <c r="S102" i="3"/>
  <c r="S82" i="3"/>
  <c r="S62" i="3"/>
  <c r="S42" i="3"/>
  <c r="S22" i="3"/>
  <c r="S2" i="3"/>
  <c r="T120" i="3" l="1"/>
  <c r="T18" i="3"/>
  <c r="T78" i="3"/>
  <c r="F13" i="4"/>
  <c r="H13" i="4" s="1"/>
  <c r="I13" i="4" s="1"/>
  <c r="T119" i="3"/>
  <c r="T37" i="3"/>
  <c r="F4" i="4"/>
  <c r="H4" i="4" s="1"/>
  <c r="I4" i="4" s="1"/>
  <c r="P97" i="3"/>
  <c r="T97" i="3"/>
  <c r="P49" i="3"/>
  <c r="T49" i="3"/>
  <c r="T180" i="3"/>
  <c r="P84" i="3"/>
  <c r="T84" i="3"/>
  <c r="F5" i="4"/>
  <c r="H5" i="4" s="1"/>
  <c r="I5" i="4" s="1"/>
  <c r="P114" i="3"/>
  <c r="F9" i="4"/>
  <c r="H9" i="4" s="1"/>
  <c r="I9" i="4" s="1"/>
  <c r="F7" i="4"/>
  <c r="H7" i="4" s="1"/>
  <c r="I7" i="4" s="1"/>
  <c r="T91" i="3"/>
  <c r="T11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688075-E3A5-4FFE-A153-1338AA7DE30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90C624B-01FB-476C-AA9C-2FCDC8C53A32}" name="WorksheetConnection_Financial Performance Dashboard Budget Variance Analysis.xlsx!FinancialAnalysis" type="102" refreshedVersion="8" minRefreshableVersion="5">
    <extLst>
      <ext xmlns:x15="http://schemas.microsoft.com/office/spreadsheetml/2010/11/main" uri="{DE250136-89BD-433C-8126-D09CA5730AF9}">
        <x15:connection id="FinancialAnalysis">
          <x15:rangePr sourceName="_xlcn.WorksheetConnection_FinancialPerformanceDashboardBudgetVarianceAnalysis.xlsxFinancialAnalysis"/>
        </x15:connection>
      </ext>
    </extLst>
  </connection>
</connections>
</file>

<file path=xl/sharedStrings.xml><?xml version="1.0" encoding="utf-8"?>
<sst xmlns="http://schemas.openxmlformats.org/spreadsheetml/2006/main" count="1367" uniqueCount="127">
  <si>
    <t>Month</t>
  </si>
  <si>
    <t>Sales Channel</t>
  </si>
  <si>
    <t>Department</t>
  </si>
  <si>
    <t>Units Sold</t>
  </si>
  <si>
    <t>Average Selling Price</t>
  </si>
  <si>
    <t>Revenue</t>
  </si>
  <si>
    <t>Cost of Goods Sold</t>
  </si>
  <si>
    <t>Marketing Expense</t>
  </si>
  <si>
    <t>Payroll Expense</t>
  </si>
  <si>
    <t>Other Expense</t>
  </si>
  <si>
    <t>Jan</t>
  </si>
  <si>
    <t>Feb</t>
  </si>
  <si>
    <t>Mar</t>
  </si>
  <si>
    <t>Apr</t>
  </si>
  <si>
    <t>May</t>
  </si>
  <si>
    <t>Jun</t>
  </si>
  <si>
    <t>Jul</t>
  </si>
  <si>
    <t>Aug</t>
  </si>
  <si>
    <t>Sep</t>
  </si>
  <si>
    <t>Oct</t>
  </si>
  <si>
    <t>Nov</t>
  </si>
  <si>
    <t>Dec</t>
  </si>
  <si>
    <t>Online</t>
  </si>
  <si>
    <t>Furniture</t>
  </si>
  <si>
    <t>Kitchen</t>
  </si>
  <si>
    <t>Appliances</t>
  </si>
  <si>
    <t>Seasonal</t>
  </si>
  <si>
    <t>Retail</t>
  </si>
  <si>
    <t>Wholesale</t>
  </si>
  <si>
    <t>Home Decor</t>
  </si>
  <si>
    <t>Allocated Rent Expense</t>
  </si>
  <si>
    <t>=IFS([@[Sales Channel]]="Online",RANDBETWEEN(600,2200),[@[Sales Channel]]="Retail",RANDBETWEEN(300,1400),[@[Sales Channel]]="Wholesale",RANDBETWEEN(1000,3500))</t>
  </si>
  <si>
    <t>=IFS([@Department]="Furniture",RANDBETWEEN(80,250),[@Department]="Home Decor",RANDBETWEEN(20,75),[@Department]="Kitchen",RANDBETWEEN(25,120),[@Department]="Appliances",RANDBETWEEN(150,600),[@Department]="Seasonal",RANDBETWEEN(15,90))</t>
  </si>
  <si>
    <t>=[@[Units Sold]]*[@[Average Selling Price]]</t>
  </si>
  <si>
    <t>=[@Revenue]*IFS([@Department]="Furniture",RANDBETWEEN(5800,7200)/10000,[@Department]="Home Decor",RANDBETWEEN(4500,6000)/10000,[@Department]="Kitchen",RANDBETWEEN(5000,6500)/10000,[@Department]="Appliances", RANDBETWEEN(6200,7600)/10000,[@Department]="Seasonal",RANDBETWEEN(4800,6800)/10000)</t>
  </si>
  <si>
    <t>=[@Revenue]*IFS([@[Sales Channel]]="Online", RANDBETWEEN(600,1200)/10000,[@[Sales Channel]]="Retail",RANDBETWEEN(300,700)/10000,[@[Sales Channel]]="Wholesale",RANDBETWEEN(200,500)/10000)</t>
  </si>
  <si>
    <t>=IFS([@[Sales Channel]]="Online",RANDBETWEEN(4000,12000),[@[Sales Channel]]="Retail",RANDBETWEEN(8000,20000),[@[Sales Channel]]="Wholesale",RANDBETWEEN(5000,14000))</t>
  </si>
  <si>
    <t>=IFS([@[Sales Channel]]="Online",RANDBETWEEN(1000,4000),[@[Sales Channel]]="Retail",RANDBETWEEN(6000,16000),[@[Sales Channel]]="Wholesale",RANDBETWEEN(2000,7000))</t>
  </si>
  <si>
    <t>=[@Revenue]*RANDBETWEEN(200,600)/10000</t>
  </si>
  <si>
    <t>Column Name</t>
  </si>
  <si>
    <t>Formula Used</t>
  </si>
  <si>
    <t>Business Logic</t>
  </si>
  <si>
    <t>Units sold × average selling price</t>
  </si>
  <si>
    <t>Prices are different based on the department</t>
  </si>
  <si>
    <t>Units sold depends on sales channel</t>
  </si>
  <si>
    <t>COGS is estimated as a percentage of revenue</t>
  </si>
  <si>
    <t>Marketing is higher for Online sales</t>
  </si>
  <si>
    <t>Other expenses are estimated as a small percentage of revenue</t>
  </si>
  <si>
    <t>Retail usually has higher rent costs</t>
  </si>
  <si>
    <t>.</t>
  </si>
  <si>
    <t>Payroll cost depends on sales channel</t>
  </si>
  <si>
    <r>
      <rPr>
        <b/>
        <sz val="11"/>
        <color theme="1"/>
        <rFont val="Aptos Narrow"/>
        <family val="2"/>
        <scheme val="minor"/>
      </rPr>
      <t>Note</t>
    </r>
    <r>
      <rPr>
        <sz val="11"/>
        <color theme="1"/>
        <rFont val="Aptos Narrow"/>
        <family val="2"/>
        <scheme val="minor"/>
      </rPr>
      <t>: These formulas show how the synthetic dataset was generated. Final values were pasted as "Values Only" so the data does not recalculate.</t>
    </r>
  </si>
  <si>
    <t>Budget Revenue</t>
  </si>
  <si>
    <t>Budget COGS</t>
  </si>
  <si>
    <t>Budget Operating Expenses</t>
  </si>
  <si>
    <t>Budget Operating Profit</t>
  </si>
  <si>
    <t>=[@[Budget Revenue]]*RANDBETWEEN(5000,6000)/10000</t>
  </si>
  <si>
    <t>=[@[Budget Revenue]]*RANDBETWEEN(2000,3000)/10000</t>
  </si>
  <si>
    <t>Budget  Operating Profit</t>
  </si>
  <si>
    <t>=[@[Budget Revenue]]-[@[Budget COGS]]-[@[Budget Operating Expenses]]</t>
  </si>
  <si>
    <t>=SUMIFS(FinancialData[Revenue],FinancialData[Month],[@Month]) * RANDBETWEEN(9500,9800)/10000</t>
  </si>
  <si>
    <t>Budget Field</t>
  </si>
  <si>
    <r>
      <rPr>
        <b/>
        <sz val="11"/>
        <color theme="1"/>
        <rFont val="Aptos Narrow"/>
        <family val="2"/>
        <scheme val="minor"/>
      </rPr>
      <t>Note</t>
    </r>
    <r>
      <rPr>
        <sz val="11"/>
        <color theme="1"/>
        <rFont val="Aptos Narrow"/>
        <family val="2"/>
        <scheme val="minor"/>
      </rPr>
      <t>: These formulas show how the budget values were generated. Final values were pasted as “Values Only” so the budget does not recalculate.</t>
    </r>
  </si>
  <si>
    <t>Total Operating Expenses</t>
  </si>
  <si>
    <t>Gross Profit</t>
  </si>
  <si>
    <t>Operating Profit</t>
  </si>
  <si>
    <t>Gross Margin</t>
  </si>
  <si>
    <t>Operating Margin</t>
  </si>
  <si>
    <t>Revenue Per Unit</t>
  </si>
  <si>
    <t>COGS Per Unit</t>
  </si>
  <si>
    <t>Expense Ratio</t>
  </si>
  <si>
    <t>Profit Status</t>
  </si>
  <si>
    <t>Actual Revenue</t>
  </si>
  <si>
    <t>Revenue Variance</t>
  </si>
  <si>
    <t>Revenue Variance %</t>
  </si>
  <si>
    <t>Actual Operating Profit</t>
  </si>
  <si>
    <t>Operating Profit Variance</t>
  </si>
  <si>
    <t>Operating Profit Variance %</t>
  </si>
  <si>
    <t>Grand Total</t>
  </si>
  <si>
    <t>Revenue by Month</t>
  </si>
  <si>
    <t>Revenue and Operating Profit by Sales Channel</t>
  </si>
  <si>
    <t>Operating Profit by Month and Sales Channel</t>
  </si>
  <si>
    <t>Expense Breakdown by Month</t>
  </si>
  <si>
    <t>Marketing</t>
  </si>
  <si>
    <t>Payroll</t>
  </si>
  <si>
    <t>Allocated Rent</t>
  </si>
  <si>
    <t>Total Revenue</t>
  </si>
  <si>
    <t>Total Operating Profit</t>
  </si>
  <si>
    <t>Other OpEx</t>
  </si>
  <si>
    <t>Key Performance Indicators</t>
  </si>
  <si>
    <t>Total Budget Revenue</t>
  </si>
  <si>
    <t>Total Budget Operating Profit</t>
  </si>
  <si>
    <t>Row Labels</t>
  </si>
  <si>
    <t>Sum of Revenue</t>
  </si>
  <si>
    <t>Sum of Gross Profit</t>
  </si>
  <si>
    <r>
      <rPr>
        <b/>
        <sz val="10"/>
        <color theme="1"/>
        <rFont val="Aptos Narrow"/>
        <family val="2"/>
        <scheme val="minor"/>
      </rPr>
      <t xml:space="preserve">   Note: </t>
    </r>
    <r>
      <rPr>
        <sz val="10"/>
        <color theme="1"/>
        <rFont val="Aptos Narrow"/>
        <family val="2"/>
        <scheme val="minor"/>
      </rPr>
      <t>Slicers apply to charts based on the Analysis sheet</t>
    </r>
  </si>
  <si>
    <r>
      <rPr>
        <b/>
        <sz val="14"/>
        <color theme="1"/>
        <rFont val="Aptos Narrow"/>
        <family val="2"/>
        <scheme val="minor"/>
      </rPr>
      <t>Key Insight</t>
    </r>
    <r>
      <rPr>
        <sz val="14"/>
        <color theme="1"/>
        <rFont val="Aptos Narrow"/>
        <family val="2"/>
        <scheme val="minor"/>
      </rPr>
      <t>: Revenue beat budget by $1.4M, but operating profit missed budget by $0.9M. Wholesale drove the strongest operating profit.</t>
    </r>
  </si>
  <si>
    <t>Status</t>
  </si>
  <si>
    <t>Difference</t>
  </si>
  <si>
    <t>PASS</t>
  </si>
  <si>
    <t>Analysis Sheet</t>
  </si>
  <si>
    <t>Monthly Summary Sheet</t>
  </si>
  <si>
    <t>Profitable</t>
  </si>
  <si>
    <t>Not Profitable</t>
  </si>
  <si>
    <t>Analysis Sheet rows</t>
  </si>
  <si>
    <t>Online Total Operating Profit</t>
  </si>
  <si>
    <t>Retail Total Operating Profit</t>
  </si>
  <si>
    <t>Wholesale Total Operating Profit</t>
  </si>
  <si>
    <t>Pivot Summary Tables</t>
  </si>
  <si>
    <t>Total Marketing Expense</t>
  </si>
  <si>
    <t>Total Payroll Expense</t>
  </si>
  <si>
    <t>Total Rent Expense</t>
  </si>
  <si>
    <t>Total Other Expense</t>
  </si>
  <si>
    <t>Total Budget COGS</t>
  </si>
  <si>
    <t>Total Budget Operating Expenses</t>
  </si>
  <si>
    <t>Data Checks &amp; Reconciliation</t>
  </si>
  <si>
    <t>Profit Status Check</t>
  </si>
  <si>
    <t>Sales Channel Category Check</t>
  </si>
  <si>
    <t>Department Category Check</t>
  </si>
  <si>
    <t>Negative Revenue Check</t>
  </si>
  <si>
    <t>Budget Formula Check</t>
  </si>
  <si>
    <t>Invalid Category Count</t>
  </si>
  <si>
    <t>Missing Key Fields Check</t>
  </si>
  <si>
    <t>Month blanks</t>
  </si>
  <si>
    <t>Sales Channel blanks</t>
  </si>
  <si>
    <t>Department blanks</t>
  </si>
  <si>
    <t>This sheet is here to make sure the totals tie out and the data does not have obvious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</si>
</sst>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_(* #,##0_);_(* \(#,##0\);_(* &quot;-&quot;??_);_(@_)"/>
    <numFmt numFmtId="165" formatCode="&quot;$&quot;#,##0.00"/>
    <numFmt numFmtId="166" formatCode="&quot;$&quot;#,##0"/>
    <numFmt numFmtId="167" formatCode="0.0%"/>
  </numFmts>
  <fonts count="12"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11"/>
      <color theme="9"/>
      <name val="Aptos Narrow"/>
      <family val="2"/>
      <scheme val="minor"/>
    </font>
    <font>
      <sz val="10"/>
      <color theme="1"/>
      <name val="Aptos Narrow"/>
      <family val="2"/>
      <scheme val="minor"/>
    </font>
    <font>
      <b/>
      <sz val="10"/>
      <color theme="1"/>
      <name val="Aptos Narrow"/>
      <family val="2"/>
      <scheme val="minor"/>
    </font>
    <font>
      <sz val="14"/>
      <color theme="1"/>
      <name val="Aptos Narrow"/>
      <family val="2"/>
      <scheme val="minor"/>
    </font>
    <font>
      <b/>
      <sz val="14"/>
      <color theme="1"/>
      <name val="Aptos Narrow"/>
      <family val="2"/>
      <scheme val="minor"/>
    </font>
    <font>
      <sz val="16"/>
      <color theme="1"/>
      <name val="Aptos Narrow"/>
      <family val="2"/>
      <scheme val="minor"/>
    </font>
    <font>
      <sz val="11"/>
      <name val="Aptos Narrow"/>
      <family val="2"/>
      <scheme val="minor"/>
    </font>
  </fonts>
  <fills count="3">
    <fill>
      <patternFill patternType="none"/>
    </fill>
    <fill>
      <patternFill patternType="gray125"/>
    </fill>
    <fill>
      <patternFill patternType="solid">
        <fgColor theme="9" tint="0.79998168889431442"/>
        <bgColor indexed="64"/>
      </patternFill>
    </fill>
  </fills>
  <borders count="15">
    <border>
      <left/>
      <right/>
      <top/>
      <bottom/>
      <diagonal/>
    </border>
    <border>
      <left/>
      <right style="thick">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52">
    <xf numFmtId="0" fontId="0" fillId="0" borderId="0" xfId="0"/>
    <xf numFmtId="164" fontId="0" fillId="0" borderId="0" xfId="1" applyNumberFormat="1" applyFont="1"/>
    <xf numFmtId="166" fontId="0" fillId="0" borderId="0" xfId="2" applyNumberFormat="1" applyFont="1"/>
    <xf numFmtId="166" fontId="0" fillId="0" borderId="0" xfId="0" applyNumberFormat="1"/>
    <xf numFmtId="165" fontId="0" fillId="0" borderId="0" xfId="0" applyNumberFormat="1"/>
    <xf numFmtId="0" fontId="2" fillId="0" borderId="0" xfId="0" applyFont="1"/>
    <xf numFmtId="0" fontId="3" fillId="0" borderId="0" xfId="0" applyFont="1"/>
    <xf numFmtId="0" fontId="0" fillId="0" borderId="1" xfId="0" applyBorder="1"/>
    <xf numFmtId="166" fontId="0" fillId="0" borderId="1" xfId="0" applyNumberFormat="1" applyBorder="1"/>
    <xf numFmtId="167" fontId="0" fillId="0" borderId="0" xfId="3" applyNumberFormat="1" applyFont="1"/>
    <xf numFmtId="10" fontId="0" fillId="0" borderId="0" xfId="3" applyNumberFormat="1" applyFont="1"/>
    <xf numFmtId="166" fontId="2" fillId="0" borderId="0" xfId="0" applyNumberFormat="1" applyFont="1"/>
    <xf numFmtId="166" fontId="0" fillId="0" borderId="5" xfId="0" applyNumberFormat="1" applyBorder="1"/>
    <xf numFmtId="0" fontId="0" fillId="0" borderId="8" xfId="0" applyBorder="1"/>
    <xf numFmtId="166" fontId="0" fillId="0" borderId="8" xfId="0" applyNumberFormat="1" applyBorder="1"/>
    <xf numFmtId="0" fontId="0" fillId="0" borderId="2" xfId="0" pivotButton="1" applyBorder="1"/>
    <xf numFmtId="0" fontId="0" fillId="0" borderId="9" xfId="0" applyBorder="1" applyAlignment="1">
      <alignment horizontal="left"/>
    </xf>
    <xf numFmtId="0" fontId="0" fillId="0" borderId="2" xfId="0" applyBorder="1" applyAlignment="1">
      <alignment horizontal="left"/>
    </xf>
    <xf numFmtId="0" fontId="0" fillId="0" borderId="10" xfId="0" applyBorder="1"/>
    <xf numFmtId="166" fontId="0" fillId="0" borderId="10" xfId="0" applyNumberFormat="1" applyBorder="1"/>
    <xf numFmtId="166" fontId="0" fillId="0" borderId="11" xfId="0" applyNumberFormat="1" applyBorder="1"/>
    <xf numFmtId="166" fontId="0" fillId="0" borderId="12" xfId="0" applyNumberFormat="1" applyBorder="1"/>
    <xf numFmtId="0" fontId="0" fillId="0" borderId="2" xfId="0" applyBorder="1"/>
    <xf numFmtId="0" fontId="0" fillId="0" borderId="13" xfId="0" applyBorder="1" applyAlignment="1">
      <alignment horizontal="left"/>
    </xf>
    <xf numFmtId="0" fontId="0" fillId="0" borderId="14" xfId="0" applyBorder="1" applyAlignment="1">
      <alignment horizontal="left"/>
    </xf>
    <xf numFmtId="166" fontId="0" fillId="0" borderId="13" xfId="0" applyNumberFormat="1" applyBorder="1"/>
    <xf numFmtId="166" fontId="0" fillId="0" borderId="9" xfId="0" applyNumberFormat="1" applyBorder="1"/>
    <xf numFmtId="166" fontId="0" fillId="0" borderId="14" xfId="0" applyNumberFormat="1" applyBorder="1"/>
    <xf numFmtId="166" fontId="0" fillId="0" borderId="2" xfId="0" applyNumberFormat="1" applyBorder="1"/>
    <xf numFmtId="0" fontId="0" fillId="0" borderId="7" xfId="0" applyBorder="1"/>
    <xf numFmtId="166" fontId="0" fillId="0" borderId="7" xfId="0" applyNumberFormat="1" applyBorder="1"/>
    <xf numFmtId="166" fontId="0" fillId="0" borderId="4" xfId="0" applyNumberFormat="1" applyBorder="1"/>
    <xf numFmtId="166" fontId="2" fillId="0" borderId="13" xfId="0" applyNumberFormat="1" applyFont="1" applyBorder="1"/>
    <xf numFmtId="166" fontId="2" fillId="0" borderId="9" xfId="0" applyNumberFormat="1" applyFont="1" applyBorder="1"/>
    <xf numFmtId="166" fontId="2" fillId="0" borderId="14" xfId="0" applyNumberFormat="1" applyFont="1" applyBorder="1"/>
    <xf numFmtId="166" fontId="0" fillId="0" borderId="3" xfId="0" applyNumberFormat="1" applyBorder="1"/>
    <xf numFmtId="166" fontId="0" fillId="0" borderId="6" xfId="0" applyNumberFormat="1" applyBorder="1"/>
    <xf numFmtId="0" fontId="0" fillId="0" borderId="9" xfId="0" pivotButton="1" applyBorder="1"/>
    <xf numFmtId="0" fontId="0" fillId="0" borderId="9" xfId="0" applyBorder="1"/>
    <xf numFmtId="0" fontId="0" fillId="0" borderId="4" xfId="0" applyBorder="1"/>
    <xf numFmtId="0" fontId="0" fillId="0" borderId="5" xfId="0" applyBorder="1"/>
    <xf numFmtId="0" fontId="0" fillId="0" borderId="0" xfId="0" applyAlignment="1">
      <alignment vertical="top" wrapText="1"/>
    </xf>
    <xf numFmtId="166" fontId="3" fillId="0" borderId="0" xfId="0" applyNumberFormat="1" applyFont="1"/>
    <xf numFmtId="167" fontId="3" fillId="0" borderId="0" xfId="3" applyNumberFormat="1" applyFont="1"/>
    <xf numFmtId="0" fontId="8" fillId="0" borderId="0" xfId="0" applyFont="1"/>
    <xf numFmtId="0" fontId="10" fillId="0" borderId="0" xfId="0" applyFont="1"/>
    <xf numFmtId="165" fontId="2" fillId="0" borderId="0" xfId="0" applyNumberFormat="1" applyFont="1"/>
    <xf numFmtId="1" fontId="2" fillId="0" borderId="0" xfId="0" applyNumberFormat="1" applyFont="1"/>
    <xf numFmtId="0" fontId="5" fillId="2" borderId="0" xfId="0" applyFont="1" applyFill="1"/>
    <xf numFmtId="0" fontId="11" fillId="0" borderId="0" xfId="0" applyFont="1"/>
    <xf numFmtId="167" fontId="11" fillId="0" borderId="0" xfId="3" applyNumberFormat="1" applyFont="1"/>
    <xf numFmtId="0" fontId="6" fillId="0" borderId="0" xfId="0" applyFont="1" applyAlignment="1">
      <alignment horizontal="left" vertical="top" wrapText="1"/>
    </xf>
  </cellXfs>
  <cellStyles count="4">
    <cellStyle name="Comma" xfId="1" builtinId="3"/>
    <cellStyle name="Currency" xfId="2" builtinId="4"/>
    <cellStyle name="Normal" xfId="0" builtinId="0"/>
    <cellStyle name="Percent" xfId="3" builtinId="5"/>
  </cellStyles>
  <dxfs count="116">
    <dxf>
      <font>
        <color theme="9"/>
      </font>
    </dxf>
    <dxf>
      <font>
        <color rgb="FF9C0006"/>
      </font>
    </dxf>
    <dxf>
      <font>
        <color theme="9"/>
      </font>
    </dxf>
    <dxf>
      <font>
        <color rgb="FF006100"/>
      </font>
      <fill>
        <patternFill>
          <bgColor rgb="FFC6EFCE"/>
        </patternFill>
      </fill>
    </dxf>
    <dxf>
      <font>
        <color rgb="FF9C0006"/>
      </font>
      <fill>
        <patternFill>
          <bgColor rgb="FFFFC7CE"/>
        </patternFill>
      </fill>
    </dxf>
    <dxf>
      <font>
        <color theme="9"/>
      </font>
    </dxf>
    <dxf>
      <font>
        <color rgb="FF9C0006"/>
      </font>
    </dxf>
    <dxf>
      <border>
        <right style="thin">
          <color indexed="64"/>
        </right>
      </border>
    </dxf>
    <dxf>
      <border>
        <right style="thin">
          <color indexed="64"/>
        </right>
      </border>
    </dxf>
    <dxf>
      <border>
        <right style="thin">
          <color indexed="64"/>
        </right>
      </border>
    </dxf>
    <dxf>
      <border>
        <top style="thin">
          <color indexed="64"/>
        </top>
      </border>
    </dxf>
    <dxf>
      <border>
        <top style="thin">
          <color indexed="64"/>
        </top>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ont>
    </dxf>
    <dxf>
      <font>
        <b val="0"/>
      </font>
    </dxf>
    <dxf>
      <border>
        <left style="thin">
          <color indexed="64"/>
        </left>
      </border>
    </dxf>
    <dxf>
      <border>
        <left style="thin">
          <color indexed="64"/>
        </left>
      </border>
    </dxf>
    <dxf>
      <border>
        <left style="thin">
          <color indexed="64"/>
        </lef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
    </dxf>
    <dxf>
      <font>
        <b/>
      </font>
      <numFmt numFmtId="166" formatCode="&quot;$&quot;#,##0"/>
    </dxf>
    <dxf>
      <numFmt numFmtId="166" formatCode="&quot;$&quot;#,##0"/>
    </dxf>
    <dxf>
      <numFmt numFmtId="166" formatCode="&quot;$&quot;#,##0"/>
    </dxf>
    <dxf>
      <numFmt numFmtId="167" formatCode="0.0%"/>
    </dxf>
    <dxf>
      <font>
        <b/>
      </font>
      <numFmt numFmtId="166" formatCode="&quot;$&quot;#,##0"/>
    </dxf>
    <dxf>
      <numFmt numFmtId="166" formatCode="&quot;$&quot;#,##0"/>
    </dxf>
    <dxf>
      <numFmt numFmtId="166" formatCode="&quot;$&quot;#,##0"/>
    </dxf>
    <dxf>
      <numFmt numFmtId="166" formatCode="&quot;$&quot;#,##0"/>
    </dxf>
    <dxf>
      <numFmt numFmtId="167" formatCode="0.0%"/>
    </dxf>
    <dxf>
      <numFmt numFmtId="165" formatCode="&quot;$&quot;#,##0.00"/>
    </dxf>
    <dxf>
      <numFmt numFmtId="165" formatCode="&quot;$&quot;#,##0.00"/>
    </dxf>
    <dxf>
      <numFmt numFmtId="167" formatCode="0.0%"/>
    </dxf>
    <dxf>
      <numFmt numFmtId="167" formatCode="0.0%"/>
    </dxf>
    <dxf>
      <font>
        <b/>
      </font>
      <numFmt numFmtId="166" formatCode="&quot;$&quot;#,##0"/>
    </dxf>
    <dxf>
      <numFmt numFmtId="166" formatCode="&quot;$&quot;#,##0"/>
    </dxf>
    <dxf>
      <numFmt numFmtId="166" formatCode="&quot;$&quot;#,##0"/>
    </dxf>
    <dxf>
      <numFmt numFmtId="166" formatCode="&quot;$&quot;#,##0"/>
      <border diagonalUp="0" diagonalDown="0">
        <left/>
        <right style="thick">
          <color indexed="64"/>
        </right>
        <top/>
        <bottom/>
        <vertical/>
        <horizontal/>
      </border>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4" formatCode="_(* #,##0_);_(* \(#,##0\);_(* &quot;-&quot;??_);_(@_)"/>
    </dxf>
    <dxf>
      <font>
        <b/>
      </font>
      <numFmt numFmtId="166" formatCode="&quot;$&quot;#,##0"/>
    </dxf>
    <dxf>
      <numFmt numFmtId="166" formatCode="&quot;$&quot;#,##0"/>
    </dxf>
    <dxf>
      <numFmt numFmtId="166" formatCode="&quot;$&quot;#,##0"/>
    </dxf>
    <dxf>
      <numFmt numFmtId="166" formatCode="&quot;$&quot;#,##0"/>
    </dxf>
    <dxf>
      <alignment horizontal="general" vertical="bottom" textRotation="0" wrapText="0" indent="0" justifyLastLine="0" shrinkToFit="0" readingOrder="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0" formatCode="General"/>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24" Type="http://schemas.openxmlformats.org/officeDocument/2006/relationships/customXml" Target="../customXml/item7.xml"/><Relationship Id="rId32"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10" Type="http://schemas.microsoft.com/office/2007/relationships/slicerCache" Target="slicerCaches/slicerCache2.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Dashboard Project.xlsx]Pivot Summary!PivotTable14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20603674540679"/>
          <c:y val="0.17171296296296296"/>
          <c:w val="0.80823840769903765"/>
          <c:h val="0.73502387503092603"/>
        </c:manualLayout>
      </c:layout>
      <c:barChart>
        <c:barDir val="col"/>
        <c:grouping val="clustered"/>
        <c:varyColors val="0"/>
        <c:ser>
          <c:idx val="0"/>
          <c:order val="0"/>
          <c:tx>
            <c:strRef>
              <c:f>'Pivot Summary'!$B$2</c:f>
              <c:strCache>
                <c:ptCount val="1"/>
                <c:pt idx="0">
                  <c:v>Total</c:v>
                </c:pt>
              </c:strCache>
            </c:strRef>
          </c:tx>
          <c:spPr>
            <a:solidFill>
              <a:schemeClr val="accent1"/>
            </a:solidFill>
            <a:ln>
              <a:noFill/>
            </a:ln>
            <a:effectLst/>
          </c:spPr>
          <c:invertIfNegative val="0"/>
          <c:cat>
            <c:strRef>
              <c:f>'Pivot Summary'!$A$3:$A$15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Summary'!$B$3:$B$15</c:f>
              <c:numCache>
                <c:formatCode>"$"#,##0</c:formatCode>
                <c:ptCount val="12"/>
                <c:pt idx="0">
                  <c:v>3482468</c:v>
                </c:pt>
                <c:pt idx="1">
                  <c:v>3832409</c:v>
                </c:pt>
                <c:pt idx="2">
                  <c:v>1976586</c:v>
                </c:pt>
                <c:pt idx="3">
                  <c:v>3158657</c:v>
                </c:pt>
                <c:pt idx="4">
                  <c:v>4117290</c:v>
                </c:pt>
                <c:pt idx="5">
                  <c:v>2318453</c:v>
                </c:pt>
                <c:pt idx="6">
                  <c:v>3583065</c:v>
                </c:pt>
                <c:pt idx="7">
                  <c:v>2893764</c:v>
                </c:pt>
                <c:pt idx="8">
                  <c:v>3786563</c:v>
                </c:pt>
                <c:pt idx="9">
                  <c:v>3395586</c:v>
                </c:pt>
                <c:pt idx="10">
                  <c:v>3230462</c:v>
                </c:pt>
                <c:pt idx="11">
                  <c:v>4148524</c:v>
                </c:pt>
              </c:numCache>
            </c:numRef>
          </c:val>
          <c:extLst>
            <c:ext xmlns:c16="http://schemas.microsoft.com/office/drawing/2014/chart" uri="{C3380CC4-5D6E-409C-BE32-E72D297353CC}">
              <c16:uniqueId val="{00000000-7FCA-4401-AFCF-C6F624AC87F9}"/>
            </c:ext>
          </c:extLst>
        </c:ser>
        <c:dLbls>
          <c:showLegendKey val="0"/>
          <c:showVal val="0"/>
          <c:showCatName val="0"/>
          <c:showSerName val="0"/>
          <c:showPercent val="0"/>
          <c:showBubbleSize val="0"/>
        </c:dLbls>
        <c:gapWidth val="219"/>
        <c:overlap val="-27"/>
        <c:axId val="449111680"/>
        <c:axId val="449108320"/>
      </c:barChart>
      <c:catAx>
        <c:axId val="44911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108320"/>
        <c:crosses val="autoZero"/>
        <c:auto val="1"/>
        <c:lblAlgn val="ctr"/>
        <c:lblOffset val="100"/>
        <c:noMultiLvlLbl val="0"/>
      </c:catAx>
      <c:valAx>
        <c:axId val="449108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 ($M)</a:t>
                </a:r>
              </a:p>
            </c:rich>
          </c:tx>
          <c:layout>
            <c:manualLayout>
              <c:xMode val="edge"/>
              <c:yMode val="edge"/>
              <c:x val="3.0555555555555555E-2"/>
              <c:y val="0.391902158063575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111680"/>
        <c:crosses val="autoZero"/>
        <c:crossBetween val="between"/>
        <c:dispUnits>
          <c:builtInUnit val="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Operating Profit by Sales Channel</a:t>
            </a:r>
            <a:endParaRPr lang="en-US"/>
          </a:p>
        </c:rich>
      </c:tx>
      <c:layout>
        <c:manualLayout>
          <c:xMode val="edge"/>
          <c:yMode val="edge"/>
          <c:x val="0.22688780206132697"/>
          <c:y val="2.72727746779996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1430956347404692"/>
          <c:y val="0.17171283375330129"/>
          <c:w val="0.78342337558635566"/>
          <c:h val="0.74556368809155948"/>
        </c:manualLayout>
      </c:layout>
      <c:barChart>
        <c:barDir val="col"/>
        <c:grouping val="clustered"/>
        <c:varyColors val="0"/>
        <c:ser>
          <c:idx val="1"/>
          <c:order val="1"/>
          <c:tx>
            <c:strRef>
              <c:f>'Pivot Summary'!$H$19</c:f>
              <c:strCache>
                <c:ptCount val="1"/>
                <c:pt idx="0">
                  <c:v>Total Operating Profit</c:v>
                </c:pt>
              </c:strCache>
            </c:strRef>
          </c:tx>
          <c:spPr>
            <a:solidFill>
              <a:schemeClr val="accent1"/>
            </a:solidFill>
            <a:ln>
              <a:noFill/>
            </a:ln>
            <a:effectLst/>
          </c:spPr>
          <c:invertIfNegative val="0"/>
          <c:dPt>
            <c:idx val="0"/>
            <c:invertIfNegative val="0"/>
            <c:bubble3D val="0"/>
            <c:spPr>
              <a:solidFill>
                <a:schemeClr val="accent1"/>
              </a:solidFill>
              <a:ln>
                <a:noFill/>
              </a:ln>
              <a:effectLst>
                <a:softEdge rad="12700"/>
              </a:effectLst>
            </c:spPr>
            <c:extLst>
              <c:ext xmlns:c16="http://schemas.microsoft.com/office/drawing/2014/chart" uri="{C3380CC4-5D6E-409C-BE32-E72D297353CC}">
                <c16:uniqueId val="{00000001-C65A-413E-8784-ECDAD701380E}"/>
              </c:ext>
            </c:extLst>
          </c:dPt>
          <c:dLbls>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Summary'!$F$20:$F$22</c:f>
              <c:strCache>
                <c:ptCount val="3"/>
                <c:pt idx="0">
                  <c:v>Online</c:v>
                </c:pt>
                <c:pt idx="1">
                  <c:v>Retail</c:v>
                </c:pt>
                <c:pt idx="2">
                  <c:v>Wholesale</c:v>
                </c:pt>
              </c:strCache>
            </c:strRef>
          </c:cat>
          <c:val>
            <c:numRef>
              <c:f>'Pivot Summary'!$H$20:$H$22</c:f>
              <c:numCache>
                <c:formatCode>"$"#,##0</c:formatCode>
                <c:ptCount val="3"/>
                <c:pt idx="0">
                  <c:v>2110370.6789000002</c:v>
                </c:pt>
                <c:pt idx="1">
                  <c:v>446414.30739999993</c:v>
                </c:pt>
                <c:pt idx="2">
                  <c:v>4332995.0425000004</c:v>
                </c:pt>
              </c:numCache>
            </c:numRef>
          </c:val>
          <c:extLst>
            <c:ext xmlns:c16="http://schemas.microsoft.com/office/drawing/2014/chart" uri="{C3380CC4-5D6E-409C-BE32-E72D297353CC}">
              <c16:uniqueId val="{00000002-C65A-413E-8784-ECDAD701380E}"/>
            </c:ext>
          </c:extLst>
        </c:ser>
        <c:dLbls>
          <c:dLblPos val="outEnd"/>
          <c:showLegendKey val="0"/>
          <c:showVal val="1"/>
          <c:showCatName val="0"/>
          <c:showSerName val="0"/>
          <c:showPercent val="0"/>
          <c:showBubbleSize val="0"/>
        </c:dLbls>
        <c:gapWidth val="219"/>
        <c:overlap val="-27"/>
        <c:axId val="1845802096"/>
        <c:axId val="1845801616"/>
        <c:extLst>
          <c:ext xmlns:c15="http://schemas.microsoft.com/office/drawing/2012/chart" uri="{02D57815-91ED-43cb-92C2-25804820EDAC}">
            <c15:filteredBarSeries>
              <c15:ser>
                <c:idx val="0"/>
                <c:order val="0"/>
                <c:tx>
                  <c:strRef>
                    <c:extLst>
                      <c:ext uri="{02D57815-91ED-43cb-92C2-25804820EDAC}">
                        <c15:formulaRef>
                          <c15:sqref>'Pivot Summary'!$G$19</c15:sqref>
                        </c15:formulaRef>
                      </c:ext>
                    </c:extLst>
                    <c:strCache>
                      <c:ptCount val="1"/>
                      <c:pt idx="0">
                        <c:v>Total Revenue</c:v>
                      </c:pt>
                    </c:strCache>
                  </c:strRef>
                </c:tx>
                <c:spPr>
                  <a:solidFill>
                    <a:schemeClr val="accent4">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'Pivot Summary'!$F$20:$F$22</c15:sqref>
                        </c15:formulaRef>
                      </c:ext>
                    </c:extLst>
                    <c:strCache>
                      <c:ptCount val="3"/>
                      <c:pt idx="0">
                        <c:v>Online</c:v>
                      </c:pt>
                      <c:pt idx="1">
                        <c:v>Retail</c:v>
                      </c:pt>
                      <c:pt idx="2">
                        <c:v>Wholesale</c:v>
                      </c:pt>
                    </c:strCache>
                  </c:strRef>
                </c:cat>
                <c:val>
                  <c:numRef>
                    <c:extLst>
                      <c:ext uri="{02D57815-91ED-43cb-92C2-25804820EDAC}">
                        <c15:formulaRef>
                          <c15:sqref>'Pivot Summary'!$G$20:$G$22</c15:sqref>
                        </c15:formulaRef>
                      </c:ext>
                    </c:extLst>
                    <c:numCache>
                      <c:formatCode>"$"#,##0</c:formatCode>
                      <c:ptCount val="3"/>
                      <c:pt idx="0">
                        <c:v>12583215</c:v>
                      </c:pt>
                      <c:pt idx="1">
                        <c:v>7970715</c:v>
                      </c:pt>
                      <c:pt idx="2">
                        <c:v>19369897</c:v>
                      </c:pt>
                    </c:numCache>
                  </c:numRef>
                </c:val>
                <c:extLst>
                  <c:ext xmlns:c16="http://schemas.microsoft.com/office/drawing/2014/chart" uri="{C3380CC4-5D6E-409C-BE32-E72D297353CC}">
                    <c16:uniqueId val="{00000003-C65A-413E-8784-ECDAD701380E}"/>
                  </c:ext>
                </c:extLst>
              </c15:ser>
            </c15:filteredBarSeries>
          </c:ext>
        </c:extLst>
      </c:barChart>
      <c:catAx>
        <c:axId val="184580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801616"/>
        <c:crosses val="autoZero"/>
        <c:auto val="1"/>
        <c:lblAlgn val="ctr"/>
        <c:lblOffset val="100"/>
        <c:noMultiLvlLbl val="0"/>
      </c:catAx>
      <c:valAx>
        <c:axId val="18458016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Operating Profit ($M)</a:t>
                </a:r>
              </a:p>
            </c:rich>
          </c:tx>
          <c:layout>
            <c:manualLayout>
              <c:xMode val="edge"/>
              <c:yMode val="edge"/>
              <c:x val="5.0000010936135375E-2"/>
              <c:y val="0.3001691392420489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 sourceLinked="0"/>
        <c:majorTickMark val="none"/>
        <c:minorTickMark val="none"/>
        <c:tickLblPos val="nextTo"/>
        <c:spPr>
          <a:noFill/>
          <a:ln>
            <a:solidFill>
              <a:schemeClr val="tx1">
                <a:lumMod val="15000"/>
                <a:lumOff val="85000"/>
                <a:alpha val="99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802096"/>
        <c:crosses val="autoZero"/>
        <c:crossBetween val="between"/>
        <c:dispUnits>
          <c:builtInUnit val="millions"/>
        </c:dispUnits>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Dashboard Project.xlsx]Pivot Summary!PivotTable21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Operating Expense Breakdown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28293458509995"/>
          <c:y val="0.17171296296296296"/>
          <c:w val="0.84542814960629908"/>
          <c:h val="0.58611551542405327"/>
        </c:manualLayout>
      </c:layout>
      <c:barChart>
        <c:barDir val="col"/>
        <c:grouping val="stacked"/>
        <c:varyColors val="0"/>
        <c:ser>
          <c:idx val="0"/>
          <c:order val="0"/>
          <c:tx>
            <c:strRef>
              <c:f>'Pivot Summary'!$B$54</c:f>
              <c:strCache>
                <c:ptCount val="1"/>
                <c:pt idx="0">
                  <c:v>Marketing</c:v>
                </c:pt>
              </c:strCache>
            </c:strRef>
          </c:tx>
          <c:spPr>
            <a:solidFill>
              <a:schemeClr val="accent1"/>
            </a:solidFill>
            <a:ln>
              <a:noFill/>
            </a:ln>
            <a:effectLst/>
          </c:spPr>
          <c:invertIfNegative val="0"/>
          <c:cat>
            <c:strRef>
              <c:f>'Pivot Summary'!$A$55:$A$67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Summary'!$B$55:$B$67</c:f>
              <c:numCache>
                <c:formatCode>"$"#,##0</c:formatCode>
                <c:ptCount val="12"/>
                <c:pt idx="0">
                  <c:v>187928.8395</c:v>
                </c:pt>
                <c:pt idx="1">
                  <c:v>204932.76909999998</c:v>
                </c:pt>
                <c:pt idx="2">
                  <c:v>104579.04399999999</c:v>
                </c:pt>
                <c:pt idx="3">
                  <c:v>203284.85750000001</c:v>
                </c:pt>
                <c:pt idx="4">
                  <c:v>186677.98499999999</c:v>
                </c:pt>
                <c:pt idx="5">
                  <c:v>144446.3824</c:v>
                </c:pt>
                <c:pt idx="6">
                  <c:v>218138.58719999998</c:v>
                </c:pt>
                <c:pt idx="7">
                  <c:v>148779.83840000001</c:v>
                </c:pt>
                <c:pt idx="8">
                  <c:v>241310.17850000001</c:v>
                </c:pt>
                <c:pt idx="9">
                  <c:v>192207.09390000004</c:v>
                </c:pt>
                <c:pt idx="10">
                  <c:v>158161.54180000004</c:v>
                </c:pt>
                <c:pt idx="11">
                  <c:v>267317.90589999995</c:v>
                </c:pt>
              </c:numCache>
            </c:numRef>
          </c:val>
          <c:extLst>
            <c:ext xmlns:c16="http://schemas.microsoft.com/office/drawing/2014/chart" uri="{C3380CC4-5D6E-409C-BE32-E72D297353CC}">
              <c16:uniqueId val="{00000000-1C54-44B2-BFD7-8A7E97382788}"/>
            </c:ext>
          </c:extLst>
        </c:ser>
        <c:ser>
          <c:idx val="1"/>
          <c:order val="1"/>
          <c:tx>
            <c:strRef>
              <c:f>'Pivot Summary'!$C$54</c:f>
              <c:strCache>
                <c:ptCount val="1"/>
                <c:pt idx="0">
                  <c:v>Payroll</c:v>
                </c:pt>
              </c:strCache>
            </c:strRef>
          </c:tx>
          <c:spPr>
            <a:solidFill>
              <a:schemeClr val="accent2"/>
            </a:solidFill>
            <a:ln>
              <a:noFill/>
            </a:ln>
            <a:effectLst/>
          </c:spPr>
          <c:invertIfNegative val="0"/>
          <c:cat>
            <c:strRef>
              <c:f>'Pivot Summary'!$A$55:$A$67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Summary'!$C$55:$C$67</c:f>
              <c:numCache>
                <c:formatCode>"$"#,##0</c:formatCode>
                <c:ptCount val="12"/>
                <c:pt idx="0">
                  <c:v>156653</c:v>
                </c:pt>
                <c:pt idx="1">
                  <c:v>161977</c:v>
                </c:pt>
                <c:pt idx="2">
                  <c:v>167889</c:v>
                </c:pt>
                <c:pt idx="3">
                  <c:v>174438</c:v>
                </c:pt>
                <c:pt idx="4">
                  <c:v>160671</c:v>
                </c:pt>
                <c:pt idx="5">
                  <c:v>173364</c:v>
                </c:pt>
                <c:pt idx="6">
                  <c:v>169387</c:v>
                </c:pt>
                <c:pt idx="7">
                  <c:v>164012</c:v>
                </c:pt>
                <c:pt idx="8">
                  <c:v>136012</c:v>
                </c:pt>
                <c:pt idx="9">
                  <c:v>169363</c:v>
                </c:pt>
                <c:pt idx="10">
                  <c:v>150587</c:v>
                </c:pt>
                <c:pt idx="11">
                  <c:v>164984</c:v>
                </c:pt>
              </c:numCache>
            </c:numRef>
          </c:val>
          <c:extLst>
            <c:ext xmlns:c16="http://schemas.microsoft.com/office/drawing/2014/chart" uri="{C3380CC4-5D6E-409C-BE32-E72D297353CC}">
              <c16:uniqueId val="{00000001-1C54-44B2-BFD7-8A7E97382788}"/>
            </c:ext>
          </c:extLst>
        </c:ser>
        <c:ser>
          <c:idx val="2"/>
          <c:order val="2"/>
          <c:tx>
            <c:strRef>
              <c:f>'Pivot Summary'!$D$54</c:f>
              <c:strCache>
                <c:ptCount val="1"/>
                <c:pt idx="0">
                  <c:v>Allocated Rent</c:v>
                </c:pt>
              </c:strCache>
            </c:strRef>
          </c:tx>
          <c:spPr>
            <a:solidFill>
              <a:schemeClr val="accent3"/>
            </a:solidFill>
            <a:ln>
              <a:noFill/>
            </a:ln>
            <a:effectLst/>
          </c:spPr>
          <c:invertIfNegative val="0"/>
          <c:cat>
            <c:strRef>
              <c:f>'Pivot Summary'!$A$55:$A$67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Summary'!$D$55:$D$67</c:f>
              <c:numCache>
                <c:formatCode>"$"#,##0</c:formatCode>
                <c:ptCount val="12"/>
                <c:pt idx="0">
                  <c:v>98469</c:v>
                </c:pt>
                <c:pt idx="1">
                  <c:v>94696</c:v>
                </c:pt>
                <c:pt idx="2">
                  <c:v>76645</c:v>
                </c:pt>
                <c:pt idx="3">
                  <c:v>86707</c:v>
                </c:pt>
                <c:pt idx="4">
                  <c:v>92585</c:v>
                </c:pt>
                <c:pt idx="5">
                  <c:v>101246</c:v>
                </c:pt>
                <c:pt idx="6">
                  <c:v>84301</c:v>
                </c:pt>
                <c:pt idx="7">
                  <c:v>84359</c:v>
                </c:pt>
                <c:pt idx="8">
                  <c:v>86533</c:v>
                </c:pt>
                <c:pt idx="9">
                  <c:v>86864</c:v>
                </c:pt>
                <c:pt idx="10">
                  <c:v>85240</c:v>
                </c:pt>
                <c:pt idx="11">
                  <c:v>83107</c:v>
                </c:pt>
              </c:numCache>
            </c:numRef>
          </c:val>
          <c:extLst>
            <c:ext xmlns:c16="http://schemas.microsoft.com/office/drawing/2014/chart" uri="{C3380CC4-5D6E-409C-BE32-E72D297353CC}">
              <c16:uniqueId val="{00000002-1C54-44B2-BFD7-8A7E97382788}"/>
            </c:ext>
          </c:extLst>
        </c:ser>
        <c:ser>
          <c:idx val="3"/>
          <c:order val="3"/>
          <c:tx>
            <c:strRef>
              <c:f>'Pivot Summary'!$E$54</c:f>
              <c:strCache>
                <c:ptCount val="1"/>
                <c:pt idx="0">
                  <c:v>Other OpEx</c:v>
                </c:pt>
              </c:strCache>
            </c:strRef>
          </c:tx>
          <c:spPr>
            <a:solidFill>
              <a:schemeClr val="accent4"/>
            </a:solidFill>
            <a:ln>
              <a:noFill/>
            </a:ln>
            <a:effectLst/>
          </c:spPr>
          <c:invertIfNegative val="0"/>
          <c:cat>
            <c:strRef>
              <c:f>'Pivot Summary'!$A$55:$A$67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Summary'!$E$55:$E$67</c:f>
              <c:numCache>
                <c:formatCode>"$"#,##0</c:formatCode>
                <c:ptCount val="12"/>
                <c:pt idx="0">
                  <c:v>118807.8888</c:v>
                </c:pt>
                <c:pt idx="1">
                  <c:v>138383.08660000001</c:v>
                </c:pt>
                <c:pt idx="2">
                  <c:v>82391.863899999997</c:v>
                </c:pt>
                <c:pt idx="3">
                  <c:v>148852.08229999998</c:v>
                </c:pt>
                <c:pt idx="4">
                  <c:v>162813.71090000001</c:v>
                </c:pt>
                <c:pt idx="5">
                  <c:v>105199.9584</c:v>
                </c:pt>
                <c:pt idx="6">
                  <c:v>130228.36929999999</c:v>
                </c:pt>
                <c:pt idx="7">
                  <c:v>135514.25659999999</c:v>
                </c:pt>
                <c:pt idx="8">
                  <c:v>144982.8138</c:v>
                </c:pt>
                <c:pt idx="9">
                  <c:v>148678.84650000001</c:v>
                </c:pt>
                <c:pt idx="10">
                  <c:v>128313.85190000001</c:v>
                </c:pt>
                <c:pt idx="11">
                  <c:v>139637.98910000001</c:v>
                </c:pt>
              </c:numCache>
            </c:numRef>
          </c:val>
          <c:extLst>
            <c:ext xmlns:c16="http://schemas.microsoft.com/office/drawing/2014/chart" uri="{C3380CC4-5D6E-409C-BE32-E72D297353CC}">
              <c16:uniqueId val="{00000003-1C54-44B2-BFD7-8A7E97382788}"/>
            </c:ext>
          </c:extLst>
        </c:ser>
        <c:dLbls>
          <c:showLegendKey val="0"/>
          <c:showVal val="0"/>
          <c:showCatName val="0"/>
          <c:showSerName val="0"/>
          <c:showPercent val="0"/>
          <c:showBubbleSize val="0"/>
        </c:dLbls>
        <c:gapWidth val="150"/>
        <c:overlap val="100"/>
        <c:axId val="361514960"/>
        <c:axId val="361513040"/>
      </c:barChart>
      <c:catAx>
        <c:axId val="36151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513040"/>
        <c:crosses val="autoZero"/>
        <c:auto val="1"/>
        <c:lblAlgn val="ctr"/>
        <c:lblOffset val="100"/>
        <c:noMultiLvlLbl val="0"/>
      </c:catAx>
      <c:valAx>
        <c:axId val="361513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Operating Expenses</a:t>
                </a:r>
                <a:r>
                  <a:rPr lang="en-US" baseline="0"/>
                  <a:t> ($K)</a:t>
                </a:r>
                <a:endParaRPr lang="en-US"/>
              </a:p>
            </c:rich>
          </c:tx>
          <c:layout>
            <c:manualLayout>
              <c:xMode val="edge"/>
              <c:yMode val="edge"/>
              <c:x val="1.8646062460815876E-2"/>
              <c:y val="0.292874439082211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514960"/>
        <c:crosses val="autoZero"/>
        <c:crossBetween val="between"/>
        <c:dispUnits>
          <c:builtInUnit val="thousands"/>
        </c:dispUnits>
      </c:valAx>
      <c:spPr>
        <a:noFill/>
        <a:ln>
          <a:noFill/>
        </a:ln>
        <a:effectLst/>
      </c:spPr>
    </c:plotArea>
    <c:legend>
      <c:legendPos val="r"/>
      <c:layout>
        <c:manualLayout>
          <c:xMode val="edge"/>
          <c:yMode val="edge"/>
          <c:x val="0.14312375278932829"/>
          <c:y val="0.85437131791973098"/>
          <c:w val="0.76178279601842225"/>
          <c:h val="8.807069604833792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Actual vs Budget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840520674830997"/>
          <c:y val="0.17171296296296296"/>
          <c:w val="0.83103919893346878"/>
          <c:h val="0.6153546952464275"/>
        </c:manualLayout>
      </c:layout>
      <c:barChart>
        <c:barDir val="col"/>
        <c:grouping val="clustered"/>
        <c:varyColors val="0"/>
        <c:ser>
          <c:idx val="0"/>
          <c:order val="0"/>
          <c:tx>
            <c:strRef>
              <c:f>'Monthly Summary'!$B$1</c:f>
              <c:strCache>
                <c:ptCount val="1"/>
                <c:pt idx="0">
                  <c:v>Actual Revenue</c:v>
                </c:pt>
              </c:strCache>
            </c:strRef>
          </c:tx>
          <c:spPr>
            <a:solidFill>
              <a:schemeClr val="accent1"/>
            </a:solidFill>
            <a:ln>
              <a:noFill/>
            </a:ln>
            <a:effectLst/>
          </c:spPr>
          <c:invertIfNegative val="0"/>
          <c:cat>
            <c:strRef>
              <c:f>'Monthly Summary'!$A$2:$A$13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Summary'!$B$2:$B$13</c:f>
              <c:numCache>
                <c:formatCode>"$"#,##0</c:formatCode>
                <c:ptCount val="12"/>
                <c:pt idx="0">
                  <c:v>3482468</c:v>
                </c:pt>
                <c:pt idx="1">
                  <c:v>3832409</c:v>
                </c:pt>
                <c:pt idx="2">
                  <c:v>1976586</c:v>
                </c:pt>
                <c:pt idx="3">
                  <c:v>3158657</c:v>
                </c:pt>
                <c:pt idx="4">
                  <c:v>4117290</c:v>
                </c:pt>
                <c:pt idx="5">
                  <c:v>2318453</c:v>
                </c:pt>
                <c:pt idx="6">
                  <c:v>3583065</c:v>
                </c:pt>
                <c:pt idx="7">
                  <c:v>2893764</c:v>
                </c:pt>
                <c:pt idx="8">
                  <c:v>3786563</c:v>
                </c:pt>
                <c:pt idx="9">
                  <c:v>3395586</c:v>
                </c:pt>
                <c:pt idx="10">
                  <c:v>3230462</c:v>
                </c:pt>
                <c:pt idx="11">
                  <c:v>4148524</c:v>
                </c:pt>
              </c:numCache>
            </c:numRef>
          </c:val>
          <c:extLst>
            <c:ext xmlns:c16="http://schemas.microsoft.com/office/drawing/2014/chart" uri="{C3380CC4-5D6E-409C-BE32-E72D297353CC}">
              <c16:uniqueId val="{00000000-D7BD-4B22-BC5A-AEAF0DC52AE9}"/>
            </c:ext>
          </c:extLst>
        </c:ser>
        <c:ser>
          <c:idx val="1"/>
          <c:order val="1"/>
          <c:tx>
            <c:strRef>
              <c:f>'Monthly Summary'!$C$1</c:f>
              <c:strCache>
                <c:ptCount val="1"/>
                <c:pt idx="0">
                  <c:v>Budget Revenue</c:v>
                </c:pt>
              </c:strCache>
            </c:strRef>
          </c:tx>
          <c:spPr>
            <a:solidFill>
              <a:schemeClr val="accent2"/>
            </a:solidFill>
            <a:ln>
              <a:noFill/>
            </a:ln>
            <a:effectLst/>
          </c:spPr>
          <c:invertIfNegative val="0"/>
          <c:cat>
            <c:strRef>
              <c:f>'Monthly Summary'!$A$2:$A$13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Summary'!$C$2:$C$13</c:f>
              <c:numCache>
                <c:formatCode>"$"#,##0</c:formatCode>
                <c:ptCount val="12"/>
                <c:pt idx="0">
                  <c:v>3377297.4663999998</c:v>
                </c:pt>
                <c:pt idx="1">
                  <c:v>3703256.8166999999</c:v>
                </c:pt>
                <c:pt idx="2">
                  <c:v>1905033.5867999999</c:v>
                </c:pt>
                <c:pt idx="3">
                  <c:v>3092009.3372999998</c:v>
                </c:pt>
                <c:pt idx="4">
                  <c:v>3951363.213</c:v>
                </c:pt>
                <c:pt idx="5">
                  <c:v>2248435.7193999998</c:v>
                </c:pt>
                <c:pt idx="6">
                  <c:v>3425051.8335000002</c:v>
                </c:pt>
                <c:pt idx="7">
                  <c:v>2801452.9284000001</c:v>
                </c:pt>
                <c:pt idx="8">
                  <c:v>3604429.3196999999</c:v>
                </c:pt>
                <c:pt idx="9">
                  <c:v>3232258.3133999999</c:v>
                </c:pt>
                <c:pt idx="10">
                  <c:v>3122564.5691999998</c:v>
                </c:pt>
                <c:pt idx="11">
                  <c:v>4020334.6083999998</c:v>
                </c:pt>
              </c:numCache>
            </c:numRef>
          </c:val>
          <c:extLst>
            <c:ext xmlns:c16="http://schemas.microsoft.com/office/drawing/2014/chart" uri="{C3380CC4-5D6E-409C-BE32-E72D297353CC}">
              <c16:uniqueId val="{00000001-D7BD-4B22-BC5A-AEAF0DC52AE9}"/>
            </c:ext>
          </c:extLst>
        </c:ser>
        <c:dLbls>
          <c:showLegendKey val="0"/>
          <c:showVal val="0"/>
          <c:showCatName val="0"/>
          <c:showSerName val="0"/>
          <c:showPercent val="0"/>
          <c:showBubbleSize val="0"/>
        </c:dLbls>
        <c:gapWidth val="219"/>
        <c:overlap val="-27"/>
        <c:axId val="1766780656"/>
        <c:axId val="1766782096"/>
        <c:extLst>
          <c:ext xmlns:c15="http://schemas.microsoft.com/office/drawing/2012/chart" uri="{02D57815-91ED-43cb-92C2-25804820EDAC}">
            <c15:filteredBarSeries>
              <c15:ser>
                <c:idx val="2"/>
                <c:order val="2"/>
                <c:tx>
                  <c:strRef>
                    <c:extLst>
                      <c:ext uri="{02D57815-91ED-43cb-92C2-25804820EDAC}">
                        <c15:formulaRef>
                          <c15:sqref>'Monthly Summary'!$D$1</c15:sqref>
                        </c15:formulaRef>
                      </c:ext>
                    </c:extLst>
                    <c:strCache>
                      <c:ptCount val="1"/>
                      <c:pt idx="0">
                        <c:v>Revenue Variance</c:v>
                      </c:pt>
                    </c:strCache>
                  </c:strRef>
                </c:tx>
                <c:spPr>
                  <a:solidFill>
                    <a:schemeClr val="accent3"/>
                  </a:solidFill>
                  <a:ln>
                    <a:noFill/>
                  </a:ln>
                  <a:effectLst/>
                </c:spPr>
                <c:invertIfNegative val="0"/>
                <c:cat>
                  <c:strRef>
                    <c:extLst>
                      <c:ext uri="{02D57815-91ED-43cb-92C2-25804820EDAC}">
                        <c15:formulaRef>
                          <c15:sqref>'Monthly Summary'!$A$2:$A$13</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'Monthly Summary'!$D$2:$D$13</c15:sqref>
                        </c15:formulaRef>
                      </c:ext>
                    </c:extLst>
                    <c:numCache>
                      <c:formatCode>"$"#,##0</c:formatCode>
                      <c:ptCount val="12"/>
                      <c:pt idx="0">
                        <c:v>105170.5336000002</c:v>
                      </c:pt>
                      <c:pt idx="1">
                        <c:v>129152.18330000015</c:v>
                      </c:pt>
                      <c:pt idx="2">
                        <c:v>71552.413200000068</c:v>
                      </c:pt>
                      <c:pt idx="3">
                        <c:v>66647.662700000219</c:v>
                      </c:pt>
                      <c:pt idx="4">
                        <c:v>165926.78700000001</c:v>
                      </c:pt>
                      <c:pt idx="5">
                        <c:v>70017.280600000173</c:v>
                      </c:pt>
                      <c:pt idx="6">
                        <c:v>158013.16649999982</c:v>
                      </c:pt>
                      <c:pt idx="7">
                        <c:v>92311.071599999908</c:v>
                      </c:pt>
                      <c:pt idx="8">
                        <c:v>182133.68030000012</c:v>
                      </c:pt>
                      <c:pt idx="9">
                        <c:v>163327.68660000013</c:v>
                      </c:pt>
                      <c:pt idx="10">
                        <c:v>107897.43080000021</c:v>
                      </c:pt>
                      <c:pt idx="11">
                        <c:v>128189.39160000021</c:v>
                      </c:pt>
                    </c:numCache>
                  </c:numRef>
                </c:val>
                <c:extLst>
                  <c:ext xmlns:c16="http://schemas.microsoft.com/office/drawing/2014/chart" uri="{C3380CC4-5D6E-409C-BE32-E72D297353CC}">
                    <c16:uniqueId val="{00000002-D7BD-4B22-BC5A-AEAF0DC52AE9}"/>
                  </c:ext>
                </c:extLst>
              </c15:ser>
            </c15:filteredBarSeries>
            <c15:filteredBarSeries>
              <c15:ser>
                <c:idx val="3"/>
                <c:order val="3"/>
                <c:tx>
                  <c:strRef>
                    <c:extLst>
                      <c:ext xmlns:c15="http://schemas.microsoft.com/office/drawing/2012/chart" uri="{02D57815-91ED-43cb-92C2-25804820EDAC}">
                        <c15:formulaRef>
                          <c15:sqref>'Monthly Summary'!$E$1</c15:sqref>
                        </c15:formulaRef>
                      </c:ext>
                    </c:extLst>
                    <c:strCache>
                      <c:ptCount val="1"/>
                      <c:pt idx="0">
                        <c:v>Revenue Variance %</c:v>
                      </c:pt>
                    </c:strCache>
                  </c:strRef>
                </c:tx>
                <c:spPr>
                  <a:solidFill>
                    <a:schemeClr val="accent4"/>
                  </a:solidFill>
                  <a:ln>
                    <a:noFill/>
                  </a:ln>
                  <a:effectLst/>
                </c:spPr>
                <c:invertIfNegative val="0"/>
                <c:cat>
                  <c:strRef>
                    <c:extLst>
                      <c:ext xmlns:c15="http://schemas.microsoft.com/office/drawing/2012/chart" uri="{02D57815-91ED-43cb-92C2-25804820EDAC}">
                        <c15:formulaRef>
                          <c15:sqref>'Monthly Summary'!$A$2:$A$13</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ormulaRef>
                          <c15:sqref>'Monthly Summary'!$E$2:$E$13</c15:sqref>
                        </c15:formulaRef>
                      </c:ext>
                    </c:extLst>
                    <c:numCache>
                      <c:formatCode>0.0%</c:formatCode>
                      <c:ptCount val="12"/>
                      <c:pt idx="0">
                        <c:v>3.1140441328108948E-2</c:v>
                      </c:pt>
                      <c:pt idx="1">
                        <c:v>3.4875297526648079E-2</c:v>
                      </c:pt>
                      <c:pt idx="2">
                        <c:v>3.7559659680431665E-2</c:v>
                      </c:pt>
                      <c:pt idx="3">
                        <c:v>2.1554806415364256E-2</c:v>
                      </c:pt>
                      <c:pt idx="4">
                        <c:v>4.1992289257059501E-2</c:v>
                      </c:pt>
                      <c:pt idx="5">
                        <c:v>3.1140441328108968E-2</c:v>
                      </c:pt>
                      <c:pt idx="6">
                        <c:v>4.6134532900931002E-2</c:v>
                      </c:pt>
                      <c:pt idx="7">
                        <c:v>3.2951141411011228E-2</c:v>
                      </c:pt>
                      <c:pt idx="8">
                        <c:v>5.0530517911545364E-2</c:v>
                      </c:pt>
                      <c:pt idx="9">
                        <c:v>5.0530517911545371E-2</c:v>
                      </c:pt>
                      <c:pt idx="10">
                        <c:v>3.4554107179805574E-2</c:v>
                      </c:pt>
                      <c:pt idx="11">
                        <c:v>3.1885254359715252E-2</c:v>
                      </c:pt>
                    </c:numCache>
                  </c:numRef>
                </c:val>
                <c:extLst xmlns:c15="http://schemas.microsoft.com/office/drawing/2012/chart">
                  <c:ext xmlns:c16="http://schemas.microsoft.com/office/drawing/2014/chart" uri="{C3380CC4-5D6E-409C-BE32-E72D297353CC}">
                    <c16:uniqueId val="{00000003-D7BD-4B22-BC5A-AEAF0DC52AE9}"/>
                  </c:ext>
                </c:extLst>
              </c15:ser>
            </c15:filteredBarSeries>
            <c15:filteredBarSeries>
              <c15:ser>
                <c:idx val="4"/>
                <c:order val="4"/>
                <c:tx>
                  <c:strRef>
                    <c:extLst>
                      <c:ext xmlns:c15="http://schemas.microsoft.com/office/drawing/2012/chart" uri="{02D57815-91ED-43cb-92C2-25804820EDAC}">
                        <c15:formulaRef>
                          <c15:sqref>'Monthly Summary'!$F$1</c15:sqref>
                        </c15:formulaRef>
                      </c:ext>
                    </c:extLst>
                    <c:strCache>
                      <c:ptCount val="1"/>
                      <c:pt idx="0">
                        <c:v>Actual Operating Profit</c:v>
                      </c:pt>
                    </c:strCache>
                  </c:strRef>
                </c:tx>
                <c:spPr>
                  <a:solidFill>
                    <a:schemeClr val="accent5"/>
                  </a:solidFill>
                  <a:ln>
                    <a:noFill/>
                  </a:ln>
                  <a:effectLst/>
                </c:spPr>
                <c:invertIfNegative val="0"/>
                <c:cat>
                  <c:strRef>
                    <c:extLst>
                      <c:ext xmlns:c15="http://schemas.microsoft.com/office/drawing/2012/chart" uri="{02D57815-91ED-43cb-92C2-25804820EDAC}">
                        <c15:formulaRef>
                          <c15:sqref>'Monthly Summary'!$A$2:$A$13</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ormulaRef>
                          <c15:sqref>'Monthly Summary'!$F$2:$F$13</c15:sqref>
                        </c15:formulaRef>
                      </c:ext>
                    </c:extLst>
                    <c:numCache>
                      <c:formatCode>"$"#,##0</c:formatCode>
                      <c:ptCount val="12"/>
                      <c:pt idx="0">
                        <c:v>580097.42379999999</c:v>
                      </c:pt>
                      <c:pt idx="1">
                        <c:v>580302.38469999982</c:v>
                      </c:pt>
                      <c:pt idx="2">
                        <c:v>286000.65969999996</c:v>
                      </c:pt>
                      <c:pt idx="3">
                        <c:v>563385.18220000004</c:v>
                      </c:pt>
                      <c:pt idx="4">
                        <c:v>895831.31040000007</c:v>
                      </c:pt>
                      <c:pt idx="5">
                        <c:v>310594.67579999997</c:v>
                      </c:pt>
                      <c:pt idx="6">
                        <c:v>513043.2882999999</c:v>
                      </c:pt>
                      <c:pt idx="7">
                        <c:v>494047.85990000004</c:v>
                      </c:pt>
                      <c:pt idx="8">
                        <c:v>684099.84369999997</c:v>
                      </c:pt>
                      <c:pt idx="9">
                        <c:v>543752.07380000001</c:v>
                      </c:pt>
                      <c:pt idx="10">
                        <c:v>560007.71909999999</c:v>
                      </c:pt>
                      <c:pt idx="11">
                        <c:v>878617.6074000001</c:v>
                      </c:pt>
                    </c:numCache>
                  </c:numRef>
                </c:val>
                <c:extLst xmlns:c15="http://schemas.microsoft.com/office/drawing/2012/chart">
                  <c:ext xmlns:c16="http://schemas.microsoft.com/office/drawing/2014/chart" uri="{C3380CC4-5D6E-409C-BE32-E72D297353CC}">
                    <c16:uniqueId val="{00000004-D7BD-4B22-BC5A-AEAF0DC52AE9}"/>
                  </c:ext>
                </c:extLst>
              </c15:ser>
            </c15:filteredBarSeries>
            <c15:filteredBarSeries>
              <c15:ser>
                <c:idx val="5"/>
                <c:order val="5"/>
                <c:tx>
                  <c:strRef>
                    <c:extLst>
                      <c:ext xmlns:c15="http://schemas.microsoft.com/office/drawing/2012/chart" uri="{02D57815-91ED-43cb-92C2-25804820EDAC}">
                        <c15:formulaRef>
                          <c15:sqref>'Monthly Summary'!$G$1</c15:sqref>
                        </c15:formulaRef>
                      </c:ext>
                    </c:extLst>
                    <c:strCache>
                      <c:ptCount val="1"/>
                      <c:pt idx="0">
                        <c:v>Budget Operating Profit</c:v>
                      </c:pt>
                    </c:strCache>
                  </c:strRef>
                </c:tx>
                <c:spPr>
                  <a:solidFill>
                    <a:schemeClr val="accent6"/>
                  </a:solidFill>
                  <a:ln>
                    <a:noFill/>
                  </a:ln>
                  <a:effectLst/>
                </c:spPr>
                <c:invertIfNegative val="0"/>
                <c:cat>
                  <c:strRef>
                    <c:extLst>
                      <c:ext xmlns:c15="http://schemas.microsoft.com/office/drawing/2012/chart" uri="{02D57815-91ED-43cb-92C2-25804820EDAC}">
                        <c15:formulaRef>
                          <c15:sqref>'Monthly Summary'!$A$2:$A$13</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ormulaRef>
                          <c15:sqref>'Monthly Summary'!$G$2:$G$13</c15:sqref>
                        </c15:formulaRef>
                      </c:ext>
                    </c:extLst>
                    <c:numCache>
                      <c:formatCode>"$"#,##0</c:formatCode>
                      <c:ptCount val="12"/>
                      <c:pt idx="0">
                        <c:v>701802.41351791995</c:v>
                      </c:pt>
                      <c:pt idx="1">
                        <c:v>758426.99606015999</c:v>
                      </c:pt>
                      <c:pt idx="2">
                        <c:v>358908.3277531201</c:v>
                      </c:pt>
                      <c:pt idx="3">
                        <c:v>758469.89043968997</c:v>
                      </c:pt>
                      <c:pt idx="4">
                        <c:v>810819.73130760039</c:v>
                      </c:pt>
                      <c:pt idx="5">
                        <c:v>292521.48709394003</c:v>
                      </c:pt>
                      <c:pt idx="6">
                        <c:v>568901.10954435007</c:v>
                      </c:pt>
                      <c:pt idx="7">
                        <c:v>545442.88515948004</c:v>
                      </c:pt>
                      <c:pt idx="8">
                        <c:v>857493.73515662993</c:v>
                      </c:pt>
                      <c:pt idx="9">
                        <c:v>561766.49486892018</c:v>
                      </c:pt>
                      <c:pt idx="10">
                        <c:v>632007.0688060798</c:v>
                      </c:pt>
                      <c:pt idx="11">
                        <c:v>975735.20945867989</c:v>
                      </c:pt>
                    </c:numCache>
                  </c:numRef>
                </c:val>
                <c:extLst xmlns:c15="http://schemas.microsoft.com/office/drawing/2012/chart">
                  <c:ext xmlns:c16="http://schemas.microsoft.com/office/drawing/2014/chart" uri="{C3380CC4-5D6E-409C-BE32-E72D297353CC}">
                    <c16:uniqueId val="{00000005-D7BD-4B22-BC5A-AEAF0DC52AE9}"/>
                  </c:ext>
                </c:extLst>
              </c15:ser>
            </c15:filteredBarSeries>
            <c15:filteredBarSeries>
              <c15:ser>
                <c:idx val="6"/>
                <c:order val="6"/>
                <c:tx>
                  <c:strRef>
                    <c:extLst>
                      <c:ext xmlns:c15="http://schemas.microsoft.com/office/drawing/2012/chart" uri="{02D57815-91ED-43cb-92C2-25804820EDAC}">
                        <c15:formulaRef>
                          <c15:sqref>'Monthly Summary'!$H$1</c15:sqref>
                        </c15:formulaRef>
                      </c:ext>
                    </c:extLst>
                    <c:strCache>
                      <c:ptCount val="1"/>
                      <c:pt idx="0">
                        <c:v>Operating Profit Variance</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ormulaRef>
                          <c15:sqref>'Monthly Summary'!$A$2:$A$13</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ormulaRef>
                          <c15:sqref>'Monthly Summary'!$H$2:$H$13</c15:sqref>
                        </c15:formulaRef>
                      </c:ext>
                    </c:extLst>
                    <c:numCache>
                      <c:formatCode>"$"#,##0</c:formatCode>
                      <c:ptCount val="12"/>
                      <c:pt idx="0">
                        <c:v>-121704.98971791996</c:v>
                      </c:pt>
                      <c:pt idx="1">
                        <c:v>-178124.61136016017</c:v>
                      </c:pt>
                      <c:pt idx="2">
                        <c:v>-72907.668053120142</c:v>
                      </c:pt>
                      <c:pt idx="3">
                        <c:v>-195084.70823968993</c:v>
                      </c:pt>
                      <c:pt idx="4">
                        <c:v>85011.579092399683</c:v>
                      </c:pt>
                      <c:pt idx="5">
                        <c:v>18073.18870605994</c:v>
                      </c:pt>
                      <c:pt idx="6">
                        <c:v>-55857.821244350169</c:v>
                      </c:pt>
                      <c:pt idx="7">
                        <c:v>-51395.025259479997</c:v>
                      </c:pt>
                      <c:pt idx="8">
                        <c:v>-173393.89145662996</c:v>
                      </c:pt>
                      <c:pt idx="9">
                        <c:v>-18014.421068920172</c:v>
                      </c:pt>
                      <c:pt idx="10">
                        <c:v>-71999.349706079811</c:v>
                      </c:pt>
                      <c:pt idx="11">
                        <c:v>-97117.602058679797</c:v>
                      </c:pt>
                    </c:numCache>
                  </c:numRef>
                </c:val>
                <c:extLst xmlns:c15="http://schemas.microsoft.com/office/drawing/2012/chart">
                  <c:ext xmlns:c16="http://schemas.microsoft.com/office/drawing/2014/chart" uri="{C3380CC4-5D6E-409C-BE32-E72D297353CC}">
                    <c16:uniqueId val="{00000006-D7BD-4B22-BC5A-AEAF0DC52AE9}"/>
                  </c:ext>
                </c:extLst>
              </c15:ser>
            </c15:filteredBarSeries>
          </c:ext>
        </c:extLst>
      </c:barChart>
      <c:lineChart>
        <c:grouping val="standard"/>
        <c:varyColors val="0"/>
        <c:dLbls>
          <c:showLegendKey val="0"/>
          <c:showVal val="0"/>
          <c:showCatName val="0"/>
          <c:showSerName val="0"/>
          <c:showPercent val="0"/>
          <c:showBubbleSize val="0"/>
        </c:dLbls>
        <c:marker val="1"/>
        <c:smooth val="0"/>
        <c:axId val="727422512"/>
        <c:axId val="1766779216"/>
        <c:extLst>
          <c:ext xmlns:c15="http://schemas.microsoft.com/office/drawing/2012/chart" uri="{02D57815-91ED-43cb-92C2-25804820EDAC}">
            <c15:filteredLineSeries>
              <c15:ser>
                <c:idx val="7"/>
                <c:order val="7"/>
                <c:tx>
                  <c:strRef>
                    <c:extLst>
                      <c:ext uri="{02D57815-91ED-43cb-92C2-25804820EDAC}">
                        <c15:formulaRef>
                          <c15:sqref>'Monthly Summary'!$I$1</c15:sqref>
                        </c15:formulaRef>
                      </c:ext>
                    </c:extLst>
                    <c:strCache>
                      <c:ptCount val="1"/>
                      <c:pt idx="0">
                        <c:v>Operating Profit Variance %</c:v>
                      </c:pt>
                    </c:strCache>
                  </c:strRef>
                </c:tx>
                <c:spPr>
                  <a:ln w="28575" cap="rnd">
                    <a:solidFill>
                      <a:schemeClr val="accent2">
                        <a:lumMod val="60000"/>
                      </a:schemeClr>
                    </a:solidFill>
                    <a:round/>
                  </a:ln>
                  <a:effectLst/>
                </c:spPr>
                <c:marker>
                  <c:symbol val="none"/>
                </c:marker>
                <c:cat>
                  <c:strRef>
                    <c:extLst>
                      <c:ext uri="{02D57815-91ED-43cb-92C2-25804820EDAC}">
                        <c15:formulaRef>
                          <c15:sqref>'Monthly Summary'!$A$2:$A$13</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'Monthly Summary'!$I$2:$I$13</c15:sqref>
                        </c15:formulaRef>
                      </c:ext>
                    </c:extLst>
                    <c:numCache>
                      <c:formatCode>0.0%</c:formatCode>
                      <c:ptCount val="12"/>
                      <c:pt idx="0">
                        <c:v>-0.17341774176559216</c:v>
                      </c:pt>
                      <c:pt idx="1">
                        <c:v>-0.23486058946407937</c:v>
                      </c:pt>
                      <c:pt idx="2">
                        <c:v>-0.20313729834452507</c:v>
                      </c:pt>
                      <c:pt idx="3">
                        <c:v>-0.25720824346316246</c:v>
                      </c:pt>
                      <c:pt idx="4">
                        <c:v>0.10484646069885646</c:v>
                      </c:pt>
                      <c:pt idx="5">
                        <c:v>6.1784140664702475E-2</c:v>
                      </c:pt>
                      <c:pt idx="6">
                        <c:v>-9.8185467223096776E-2</c:v>
                      </c:pt>
                      <c:pt idx="7">
                        <c:v>-9.422622726933691E-2</c:v>
                      </c:pt>
                      <c:pt idx="8">
                        <c:v>-0.20221009710929003</c:v>
                      </c:pt>
                      <c:pt idx="9">
                        <c:v>-3.2067453708010063E-2</c:v>
                      </c:pt>
                      <c:pt idx="10">
                        <c:v>-0.11392174749262424</c:v>
                      </c:pt>
                      <c:pt idx="11">
                        <c:v>-9.9532743225038356E-2</c:v>
                      </c:pt>
                    </c:numCache>
                  </c:numRef>
                </c:val>
                <c:smooth val="0"/>
                <c:extLst>
                  <c:ext xmlns:c16="http://schemas.microsoft.com/office/drawing/2014/chart" uri="{C3380CC4-5D6E-409C-BE32-E72D297353CC}">
                    <c16:uniqueId val="{00000007-D7BD-4B22-BC5A-AEAF0DC52AE9}"/>
                  </c:ext>
                </c:extLst>
              </c15:ser>
            </c15:filteredLineSeries>
          </c:ext>
        </c:extLst>
      </c:lineChart>
      <c:catAx>
        <c:axId val="176678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782096"/>
        <c:crosses val="autoZero"/>
        <c:auto val="1"/>
        <c:lblAlgn val="ctr"/>
        <c:lblOffset val="100"/>
        <c:noMultiLvlLbl val="0"/>
      </c:catAx>
      <c:valAx>
        <c:axId val="1766782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r>
                  <a:rPr lang="en-US" baseline="0"/>
                  <a:t> ($M)</a:t>
                </a:r>
                <a:endParaRPr lang="en-US"/>
              </a:p>
            </c:rich>
          </c:tx>
          <c:layout>
            <c:manualLayout>
              <c:xMode val="edge"/>
              <c:yMode val="edge"/>
              <c:x val="3.3333333333333333E-2"/>
              <c:y val="0.3389504957713619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780656"/>
        <c:crosses val="autoZero"/>
        <c:crossBetween val="between"/>
        <c:dispUnits>
          <c:builtInUnit val="millions"/>
        </c:dispUnits>
      </c:valAx>
      <c:valAx>
        <c:axId val="1766779216"/>
        <c:scaling>
          <c:orientation val="minMax"/>
        </c:scaling>
        <c:delete val="1"/>
        <c:axPos val="r"/>
        <c:numFmt formatCode="0.0%" sourceLinked="1"/>
        <c:majorTickMark val="none"/>
        <c:minorTickMark val="none"/>
        <c:tickLblPos val="nextTo"/>
        <c:crossAx val="727422512"/>
        <c:crosses val="max"/>
        <c:crossBetween val="between"/>
      </c:valAx>
      <c:catAx>
        <c:axId val="727422512"/>
        <c:scaling>
          <c:orientation val="minMax"/>
        </c:scaling>
        <c:delete val="1"/>
        <c:axPos val="b"/>
        <c:numFmt formatCode="General" sourceLinked="1"/>
        <c:majorTickMark val="none"/>
        <c:minorTickMark val="none"/>
        <c:tickLblPos val="nextTo"/>
        <c:crossAx val="1766779216"/>
        <c:crosses val="autoZero"/>
        <c:auto val="1"/>
        <c:lblAlgn val="ctr"/>
        <c:lblOffset val="100"/>
        <c:noMultiLvlLbl val="0"/>
      </c:catAx>
      <c:spPr>
        <a:noFill/>
        <a:ln>
          <a:noFill/>
        </a:ln>
        <a:effectLst/>
      </c:spPr>
    </c:plotArea>
    <c:legend>
      <c:legendPos val="b"/>
      <c:layout>
        <c:manualLayout>
          <c:xMode val="edge"/>
          <c:yMode val="edge"/>
          <c:x val="0.39221519714843611"/>
          <c:y val="0.88155742649154645"/>
          <c:w val="0.29230515370659721"/>
          <c:h val="5.420273939897312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Gross Margin by</a:t>
            </a:r>
            <a:r>
              <a:rPr lang="en-US" baseline="0"/>
              <a:t>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tx>
            <c:strRef>
              <c:f>'Pivot Summary'!$I$26</c:f>
              <c:strCache>
                <c:ptCount val="1"/>
                <c:pt idx="0">
                  <c:v>Gross Margin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Summary'!$F$27:$F$31</c:f>
              <c:strCache>
                <c:ptCount val="5"/>
                <c:pt idx="0">
                  <c:v>Appliances</c:v>
                </c:pt>
                <c:pt idx="1">
                  <c:v>Furniture</c:v>
                </c:pt>
                <c:pt idx="2">
                  <c:v>Home Decor</c:v>
                </c:pt>
                <c:pt idx="3">
                  <c:v>Kitchen</c:v>
                </c:pt>
                <c:pt idx="4">
                  <c:v>Seasonal</c:v>
                </c:pt>
              </c:strCache>
            </c:strRef>
          </c:cat>
          <c:val>
            <c:numRef>
              <c:f>'Pivot Summary'!$I$27:$I$31</c:f>
              <c:numCache>
                <c:formatCode>0.0%</c:formatCode>
                <c:ptCount val="5"/>
                <c:pt idx="0">
                  <c:v>0.31043668991274059</c:v>
                </c:pt>
                <c:pt idx="1">
                  <c:v>0.3452662153662836</c:v>
                </c:pt>
                <c:pt idx="2">
                  <c:v>0.4642383211508006</c:v>
                </c:pt>
                <c:pt idx="3">
                  <c:v>0.42192496617838315</c:v>
                </c:pt>
                <c:pt idx="4">
                  <c:v>0.39655683883765203</c:v>
                </c:pt>
              </c:numCache>
            </c:numRef>
          </c:val>
          <c:extLst>
            <c:ext xmlns:c16="http://schemas.microsoft.com/office/drawing/2014/chart" uri="{C3380CC4-5D6E-409C-BE32-E72D297353CC}">
              <c16:uniqueId val="{00000000-ED1C-4352-BA76-BBAE5301ED75}"/>
            </c:ext>
          </c:extLst>
        </c:ser>
        <c:dLbls>
          <c:dLblPos val="outEnd"/>
          <c:showLegendKey val="0"/>
          <c:showVal val="1"/>
          <c:showCatName val="0"/>
          <c:showSerName val="0"/>
          <c:showPercent val="0"/>
          <c:showBubbleSize val="0"/>
        </c:dLbls>
        <c:gapWidth val="219"/>
        <c:overlap val="-27"/>
        <c:axId val="312863263"/>
        <c:axId val="312868063"/>
        <c:extLst>
          <c:ext xmlns:c15="http://schemas.microsoft.com/office/drawing/2012/chart" uri="{02D57815-91ED-43cb-92C2-25804820EDAC}">
            <c15:filteredBarSeries>
              <c15:ser>
                <c:idx val="0"/>
                <c:order val="0"/>
                <c:tx>
                  <c:strRef>
                    <c:extLst>
                      <c:ext uri="{02D57815-91ED-43cb-92C2-25804820EDAC}">
                        <c15:formulaRef>
                          <c15:sqref>'Pivot Summary'!$G$26</c15:sqref>
                        </c15:formulaRef>
                      </c:ext>
                    </c:extLst>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'Pivot Summary'!$F$27:$F$31</c15:sqref>
                        </c15:formulaRef>
                      </c:ext>
                    </c:extLst>
                    <c:strCache>
                      <c:ptCount val="5"/>
                      <c:pt idx="0">
                        <c:v>Appliances</c:v>
                      </c:pt>
                      <c:pt idx="1">
                        <c:v>Furniture</c:v>
                      </c:pt>
                      <c:pt idx="2">
                        <c:v>Home Decor</c:v>
                      </c:pt>
                      <c:pt idx="3">
                        <c:v>Kitchen</c:v>
                      </c:pt>
                      <c:pt idx="4">
                        <c:v>Seasonal</c:v>
                      </c:pt>
                    </c:strCache>
                  </c:strRef>
                </c:cat>
                <c:val>
                  <c:numRef>
                    <c:extLst>
                      <c:ext uri="{02D57815-91ED-43cb-92C2-25804820EDAC}">
                        <c15:formulaRef>
                          <c15:sqref>'Pivot Summary'!$G$27:$G$31</c15:sqref>
                        </c15:formulaRef>
                      </c:ext>
                    </c:extLst>
                    <c:numCache>
                      <c:formatCode>"$"#,##0</c:formatCode>
                      <c:ptCount val="5"/>
                      <c:pt idx="0">
                        <c:v>21379811</c:v>
                      </c:pt>
                      <c:pt idx="1">
                        <c:v>9768660</c:v>
                      </c:pt>
                      <c:pt idx="2">
                        <c:v>2456933</c:v>
                      </c:pt>
                      <c:pt idx="3">
                        <c:v>3364712</c:v>
                      </c:pt>
                      <c:pt idx="4">
                        <c:v>2953711</c:v>
                      </c:pt>
                    </c:numCache>
                  </c:numRef>
                </c:val>
                <c:extLst>
                  <c:ext xmlns:c16="http://schemas.microsoft.com/office/drawing/2014/chart" uri="{C3380CC4-5D6E-409C-BE32-E72D297353CC}">
                    <c16:uniqueId val="{00000001-ED1C-4352-BA76-BBAE5301ED75}"/>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'Pivot Summary'!$H$26</c15:sqref>
                        </c15:formulaRef>
                      </c:ext>
                    </c:extLst>
                    <c:strCache>
                      <c:ptCount val="1"/>
                      <c:pt idx="0">
                        <c:v>Sum of Gross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'Pivot Summary'!$F$27:$F$31</c15:sqref>
                        </c15:formulaRef>
                      </c:ext>
                    </c:extLst>
                    <c:strCache>
                      <c:ptCount val="5"/>
                      <c:pt idx="0">
                        <c:v>Appliances</c:v>
                      </c:pt>
                      <c:pt idx="1">
                        <c:v>Furniture</c:v>
                      </c:pt>
                      <c:pt idx="2">
                        <c:v>Home Decor</c:v>
                      </c:pt>
                      <c:pt idx="3">
                        <c:v>Kitchen</c:v>
                      </c:pt>
                      <c:pt idx="4">
                        <c:v>Seasonal</c:v>
                      </c:pt>
                    </c:strCache>
                  </c:strRef>
                </c:cat>
                <c:val>
                  <c:numRef>
                    <c:extLst xmlns:c15="http://schemas.microsoft.com/office/drawing/2012/chart">
                      <c:ext xmlns:c15="http://schemas.microsoft.com/office/drawing/2012/chart" uri="{02D57815-91ED-43cb-92C2-25804820EDAC}">
                        <c15:formulaRef>
                          <c15:sqref>'Pivot Summary'!$H$27:$H$31</c15:sqref>
                        </c15:formulaRef>
                      </c:ext>
                    </c:extLst>
                    <c:numCache>
                      <c:formatCode>"$"#,##0</c:formatCode>
                      <c:ptCount val="5"/>
                      <c:pt idx="0">
                        <c:v>6637077.7577999998</c:v>
                      </c:pt>
                      <c:pt idx="1">
                        <c:v>3372788.2673999998</c:v>
                      </c:pt>
                      <c:pt idx="2">
                        <c:v>1140602.4510999999</c:v>
                      </c:pt>
                      <c:pt idx="3">
                        <c:v>1419655.9967999998</c:v>
                      </c:pt>
                      <c:pt idx="4">
                        <c:v>1171314.297</c:v>
                      </c:pt>
                    </c:numCache>
                  </c:numRef>
                </c:val>
                <c:extLst xmlns:c15="http://schemas.microsoft.com/office/drawing/2012/chart">
                  <c:ext xmlns:c16="http://schemas.microsoft.com/office/drawing/2014/chart" uri="{C3380CC4-5D6E-409C-BE32-E72D297353CC}">
                    <c16:uniqueId val="{00000002-ED1C-4352-BA76-BBAE5301ED75}"/>
                  </c:ext>
                </c:extLst>
              </c15:ser>
            </c15:filteredBarSeries>
          </c:ext>
        </c:extLst>
      </c:barChart>
      <c:catAx>
        <c:axId val="31286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868063"/>
        <c:crosses val="autoZero"/>
        <c:auto val="1"/>
        <c:lblAlgn val="ctr"/>
        <c:lblOffset val="100"/>
        <c:noMultiLvlLbl val="0"/>
      </c:catAx>
      <c:valAx>
        <c:axId val="3128680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Gross Margin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86326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23</xdr:col>
      <xdr:colOff>0</xdr:colOff>
      <xdr:row>3</xdr:row>
      <xdr:rowOff>91440</xdr:rowOff>
    </xdr:to>
    <xdr:sp macro="" textlink="">
      <xdr:nvSpPr>
        <xdr:cNvPr id="3" name="TextBox 2">
          <a:extLst>
            <a:ext uri="{FF2B5EF4-FFF2-40B4-BE49-F238E27FC236}">
              <a16:creationId xmlns:a16="http://schemas.microsoft.com/office/drawing/2014/main" id="{F1D13722-33F2-B51B-F696-71EE4B903CB0}"/>
            </a:ext>
          </a:extLst>
        </xdr:cNvPr>
        <xdr:cNvSpPr txBox="1"/>
      </xdr:nvSpPr>
      <xdr:spPr>
        <a:xfrm>
          <a:off x="0" y="182880"/>
          <a:ext cx="140208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Financial</a:t>
          </a:r>
          <a:r>
            <a:rPr lang="en-US" sz="2400" b="1" baseline="0"/>
            <a:t> </a:t>
          </a:r>
          <a:r>
            <a:rPr lang="en-US" sz="2400" b="1"/>
            <a:t>Analysis</a:t>
          </a:r>
          <a:r>
            <a:rPr lang="en-US" sz="2400" b="1" baseline="0"/>
            <a:t> </a:t>
          </a:r>
          <a:r>
            <a:rPr lang="en-US" sz="2400" b="1"/>
            <a:t>Dashboard</a:t>
          </a:r>
        </a:p>
      </xdr:txBody>
    </xdr:sp>
    <xdr:clientData/>
  </xdr:twoCellAnchor>
  <xdr:twoCellAnchor>
    <xdr:from>
      <xdr:col>1</xdr:col>
      <xdr:colOff>0</xdr:colOff>
      <xdr:row>6</xdr:row>
      <xdr:rowOff>0</xdr:rowOff>
    </xdr:from>
    <xdr:to>
      <xdr:col>5</xdr:col>
      <xdr:colOff>0</xdr:colOff>
      <xdr:row>9</xdr:row>
      <xdr:rowOff>0</xdr:rowOff>
    </xdr:to>
    <xdr:sp macro="" textlink="">
      <xdr:nvSpPr>
        <xdr:cNvPr id="4" name="Rectangle 3">
          <a:extLst>
            <a:ext uri="{FF2B5EF4-FFF2-40B4-BE49-F238E27FC236}">
              <a16:creationId xmlns:a16="http://schemas.microsoft.com/office/drawing/2014/main" id="{01F45D74-B60B-4ED2-AB0D-E668D7429609}"/>
            </a:ext>
          </a:extLst>
        </xdr:cNvPr>
        <xdr:cNvSpPr/>
      </xdr:nvSpPr>
      <xdr:spPr>
        <a:xfrm>
          <a:off x="609600" y="1097280"/>
          <a:ext cx="2438400" cy="548640"/>
        </a:xfrm>
        <a:prstGeom prst="rect">
          <a:avLst/>
        </a:prstGeom>
        <a:solidFill>
          <a:sysClr val="window" lastClr="FFFFFF"/>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tx1"/>
              </a:solidFill>
            </a:rPr>
            <a:t>Total Revenue</a:t>
          </a:r>
        </a:p>
      </xdr:txBody>
    </xdr:sp>
    <xdr:clientData/>
  </xdr:twoCellAnchor>
  <xdr:twoCellAnchor>
    <xdr:from>
      <xdr:col>1</xdr:col>
      <xdr:colOff>0</xdr:colOff>
      <xdr:row>11</xdr:row>
      <xdr:rowOff>0</xdr:rowOff>
    </xdr:from>
    <xdr:to>
      <xdr:col>5</xdr:col>
      <xdr:colOff>0</xdr:colOff>
      <xdr:row>14</xdr:row>
      <xdr:rowOff>0</xdr:rowOff>
    </xdr:to>
    <xdr:sp macro="" textlink="">
      <xdr:nvSpPr>
        <xdr:cNvPr id="9" name="Rectangle 8">
          <a:extLst>
            <a:ext uri="{FF2B5EF4-FFF2-40B4-BE49-F238E27FC236}">
              <a16:creationId xmlns:a16="http://schemas.microsoft.com/office/drawing/2014/main" id="{C6DD1F4A-51FB-4E6F-B5D6-400BA6EFF0E4}"/>
            </a:ext>
          </a:extLst>
        </xdr:cNvPr>
        <xdr:cNvSpPr/>
      </xdr:nvSpPr>
      <xdr:spPr>
        <a:xfrm>
          <a:off x="609600" y="1828800"/>
          <a:ext cx="2438400" cy="548640"/>
        </a:xfrm>
        <a:prstGeom prst="rect">
          <a:avLst/>
        </a:prstGeom>
        <a:solidFill>
          <a:sysClr val="window" lastClr="FFFFFF"/>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tx1"/>
              </a:solidFill>
            </a:rPr>
            <a:t>Total Gross Profit</a:t>
          </a:r>
        </a:p>
      </xdr:txBody>
    </xdr:sp>
    <xdr:clientData/>
  </xdr:twoCellAnchor>
  <xdr:twoCellAnchor>
    <xdr:from>
      <xdr:col>8</xdr:col>
      <xdr:colOff>254000</xdr:colOff>
      <xdr:row>15</xdr:row>
      <xdr:rowOff>169333</xdr:rowOff>
    </xdr:from>
    <xdr:to>
      <xdr:col>12</xdr:col>
      <xdr:colOff>254000</xdr:colOff>
      <xdr:row>18</xdr:row>
      <xdr:rowOff>169333</xdr:rowOff>
    </xdr:to>
    <xdr:sp macro="" textlink="">
      <xdr:nvSpPr>
        <xdr:cNvPr id="11" name="Rectangle 10">
          <a:extLst>
            <a:ext uri="{FF2B5EF4-FFF2-40B4-BE49-F238E27FC236}">
              <a16:creationId xmlns:a16="http://schemas.microsoft.com/office/drawing/2014/main" id="{0EC8A09A-8D6A-41C0-BCB1-20CBC3EA980A}"/>
            </a:ext>
          </a:extLst>
        </xdr:cNvPr>
        <xdr:cNvSpPr/>
      </xdr:nvSpPr>
      <xdr:spPr>
        <a:xfrm>
          <a:off x="5130800" y="2590800"/>
          <a:ext cx="2438400" cy="558800"/>
        </a:xfrm>
        <a:prstGeom prst="rect">
          <a:avLst/>
        </a:prstGeom>
        <a:solidFill>
          <a:sysClr val="window" lastClr="FFFFFF"/>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tx1"/>
              </a:solidFill>
            </a:rPr>
            <a:t>Operating Profit Variance</a:t>
          </a:r>
        </a:p>
      </xdr:txBody>
    </xdr:sp>
    <xdr:clientData/>
  </xdr:twoCellAnchor>
  <xdr:twoCellAnchor>
    <xdr:from>
      <xdr:col>14</xdr:col>
      <xdr:colOff>0</xdr:colOff>
      <xdr:row>16</xdr:row>
      <xdr:rowOff>0</xdr:rowOff>
    </xdr:from>
    <xdr:to>
      <xdr:col>18</xdr:col>
      <xdr:colOff>0</xdr:colOff>
      <xdr:row>19</xdr:row>
      <xdr:rowOff>0</xdr:rowOff>
    </xdr:to>
    <xdr:sp macro="" textlink="">
      <xdr:nvSpPr>
        <xdr:cNvPr id="12" name="Rectangle 11">
          <a:extLst>
            <a:ext uri="{FF2B5EF4-FFF2-40B4-BE49-F238E27FC236}">
              <a16:creationId xmlns:a16="http://schemas.microsoft.com/office/drawing/2014/main" id="{FDB33750-EECC-4BDF-AFFC-36D04FC6A791}"/>
            </a:ext>
          </a:extLst>
        </xdr:cNvPr>
        <xdr:cNvSpPr/>
      </xdr:nvSpPr>
      <xdr:spPr>
        <a:xfrm>
          <a:off x="8534400" y="2607733"/>
          <a:ext cx="2438400" cy="558800"/>
        </a:xfrm>
        <a:prstGeom prst="rect">
          <a:avLst/>
        </a:prstGeom>
        <a:solidFill>
          <a:sysClr val="window" lastClr="FFFFFF"/>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tx1"/>
              </a:solidFill>
            </a:rPr>
            <a:t>Operating Profit Variance %</a:t>
          </a:r>
        </a:p>
      </xdr:txBody>
    </xdr:sp>
    <xdr:clientData/>
  </xdr:twoCellAnchor>
  <xdr:twoCellAnchor>
    <xdr:from>
      <xdr:col>6</xdr:col>
      <xdr:colOff>0</xdr:colOff>
      <xdr:row>11</xdr:row>
      <xdr:rowOff>0</xdr:rowOff>
    </xdr:from>
    <xdr:to>
      <xdr:col>10</xdr:col>
      <xdr:colOff>0</xdr:colOff>
      <xdr:row>14</xdr:row>
      <xdr:rowOff>0</xdr:rowOff>
    </xdr:to>
    <xdr:sp macro="" textlink="">
      <xdr:nvSpPr>
        <xdr:cNvPr id="13" name="Rectangle 12">
          <a:extLst>
            <a:ext uri="{FF2B5EF4-FFF2-40B4-BE49-F238E27FC236}">
              <a16:creationId xmlns:a16="http://schemas.microsoft.com/office/drawing/2014/main" id="{2202EBC4-4693-47E1-A51F-4F0374DBB7F3}"/>
            </a:ext>
          </a:extLst>
        </xdr:cNvPr>
        <xdr:cNvSpPr/>
      </xdr:nvSpPr>
      <xdr:spPr>
        <a:xfrm>
          <a:off x="3657600" y="1862667"/>
          <a:ext cx="2438400" cy="558800"/>
        </a:xfrm>
        <a:prstGeom prst="rect">
          <a:avLst/>
        </a:prstGeom>
        <a:solidFill>
          <a:sysClr val="window" lastClr="FFFFFF"/>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tx1"/>
              </a:solidFill>
            </a:rPr>
            <a:t>Gross Margin</a:t>
          </a:r>
        </a:p>
      </xdr:txBody>
    </xdr:sp>
    <xdr:clientData/>
  </xdr:twoCellAnchor>
  <xdr:twoCellAnchor>
    <xdr:from>
      <xdr:col>11</xdr:col>
      <xdr:colOff>0</xdr:colOff>
      <xdr:row>11</xdr:row>
      <xdr:rowOff>0</xdr:rowOff>
    </xdr:from>
    <xdr:to>
      <xdr:col>15</xdr:col>
      <xdr:colOff>0</xdr:colOff>
      <xdr:row>14</xdr:row>
      <xdr:rowOff>0</xdr:rowOff>
    </xdr:to>
    <xdr:sp macro="" textlink="">
      <xdr:nvSpPr>
        <xdr:cNvPr id="14" name="Rectangle 13">
          <a:extLst>
            <a:ext uri="{FF2B5EF4-FFF2-40B4-BE49-F238E27FC236}">
              <a16:creationId xmlns:a16="http://schemas.microsoft.com/office/drawing/2014/main" id="{27ED752C-5C61-48DE-AC54-4A1CD67FF6F9}"/>
            </a:ext>
          </a:extLst>
        </xdr:cNvPr>
        <xdr:cNvSpPr/>
      </xdr:nvSpPr>
      <xdr:spPr>
        <a:xfrm>
          <a:off x="6705600" y="1828800"/>
          <a:ext cx="2438400" cy="548640"/>
        </a:xfrm>
        <a:prstGeom prst="rect">
          <a:avLst/>
        </a:prstGeom>
        <a:solidFill>
          <a:sysClr val="window" lastClr="FFFFFF"/>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tx1"/>
              </a:solidFill>
            </a:rPr>
            <a:t>Total Operating Profit</a:t>
          </a:r>
        </a:p>
      </xdr:txBody>
    </xdr:sp>
    <xdr:clientData/>
  </xdr:twoCellAnchor>
  <xdr:twoCellAnchor>
    <xdr:from>
      <xdr:col>16</xdr:col>
      <xdr:colOff>0</xdr:colOff>
      <xdr:row>11</xdr:row>
      <xdr:rowOff>0</xdr:rowOff>
    </xdr:from>
    <xdr:to>
      <xdr:col>20</xdr:col>
      <xdr:colOff>0</xdr:colOff>
      <xdr:row>14</xdr:row>
      <xdr:rowOff>0</xdr:rowOff>
    </xdr:to>
    <xdr:sp macro="" textlink="">
      <xdr:nvSpPr>
        <xdr:cNvPr id="15" name="Rectangle 14">
          <a:extLst>
            <a:ext uri="{FF2B5EF4-FFF2-40B4-BE49-F238E27FC236}">
              <a16:creationId xmlns:a16="http://schemas.microsoft.com/office/drawing/2014/main" id="{DCAE1B2E-C011-44C6-AFD9-DCDDDA7297AA}"/>
            </a:ext>
          </a:extLst>
        </xdr:cNvPr>
        <xdr:cNvSpPr/>
      </xdr:nvSpPr>
      <xdr:spPr>
        <a:xfrm>
          <a:off x="9753600" y="1862667"/>
          <a:ext cx="2438400" cy="558800"/>
        </a:xfrm>
        <a:prstGeom prst="rect">
          <a:avLst/>
        </a:prstGeom>
        <a:solidFill>
          <a:sysClr val="window" lastClr="FFFFFF"/>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tx1"/>
              </a:solidFill>
            </a:rPr>
            <a:t>Operating Margin</a:t>
          </a:r>
        </a:p>
      </xdr:txBody>
    </xdr:sp>
    <xdr:clientData/>
  </xdr:twoCellAnchor>
  <xdr:twoCellAnchor>
    <xdr:from>
      <xdr:col>16</xdr:col>
      <xdr:colOff>0</xdr:colOff>
      <xdr:row>6</xdr:row>
      <xdr:rowOff>0</xdr:rowOff>
    </xdr:from>
    <xdr:to>
      <xdr:col>20</xdr:col>
      <xdr:colOff>0</xdr:colOff>
      <xdr:row>9</xdr:row>
      <xdr:rowOff>0</xdr:rowOff>
    </xdr:to>
    <xdr:sp macro="" textlink="">
      <xdr:nvSpPr>
        <xdr:cNvPr id="16" name="Rectangle 15">
          <a:extLst>
            <a:ext uri="{FF2B5EF4-FFF2-40B4-BE49-F238E27FC236}">
              <a16:creationId xmlns:a16="http://schemas.microsoft.com/office/drawing/2014/main" id="{3354F032-2283-4771-B038-03CD822292E7}"/>
            </a:ext>
          </a:extLst>
        </xdr:cNvPr>
        <xdr:cNvSpPr/>
      </xdr:nvSpPr>
      <xdr:spPr>
        <a:xfrm>
          <a:off x="9753600" y="1097280"/>
          <a:ext cx="2438400" cy="548640"/>
        </a:xfrm>
        <a:prstGeom prst="rect">
          <a:avLst/>
        </a:prstGeom>
        <a:solidFill>
          <a:sysClr val="window" lastClr="FFFFFF"/>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tx1"/>
              </a:solidFill>
            </a:rPr>
            <a:t>Revenue Variance %</a:t>
          </a:r>
        </a:p>
      </xdr:txBody>
    </xdr:sp>
    <xdr:clientData/>
  </xdr:twoCellAnchor>
  <xdr:twoCellAnchor>
    <xdr:from>
      <xdr:col>11</xdr:col>
      <xdr:colOff>0</xdr:colOff>
      <xdr:row>6</xdr:row>
      <xdr:rowOff>0</xdr:rowOff>
    </xdr:from>
    <xdr:to>
      <xdr:col>15</xdr:col>
      <xdr:colOff>0</xdr:colOff>
      <xdr:row>9</xdr:row>
      <xdr:rowOff>0</xdr:rowOff>
    </xdr:to>
    <xdr:sp macro="" textlink="">
      <xdr:nvSpPr>
        <xdr:cNvPr id="17" name="Rectangle 16">
          <a:extLst>
            <a:ext uri="{FF2B5EF4-FFF2-40B4-BE49-F238E27FC236}">
              <a16:creationId xmlns:a16="http://schemas.microsoft.com/office/drawing/2014/main" id="{B3CAC30D-6655-419D-8F27-37EC93A67B02}"/>
            </a:ext>
          </a:extLst>
        </xdr:cNvPr>
        <xdr:cNvSpPr/>
      </xdr:nvSpPr>
      <xdr:spPr>
        <a:xfrm>
          <a:off x="6705600" y="1097280"/>
          <a:ext cx="2438400" cy="548640"/>
        </a:xfrm>
        <a:prstGeom prst="rect">
          <a:avLst/>
        </a:prstGeom>
        <a:solidFill>
          <a:sysClr val="window" lastClr="FFFFFF"/>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tx1"/>
              </a:solidFill>
            </a:rPr>
            <a:t>Revenue Variance</a:t>
          </a:r>
        </a:p>
      </xdr:txBody>
    </xdr:sp>
    <xdr:clientData/>
  </xdr:twoCellAnchor>
  <xdr:twoCellAnchor>
    <xdr:from>
      <xdr:col>6</xdr:col>
      <xdr:colOff>0</xdr:colOff>
      <xdr:row>6</xdr:row>
      <xdr:rowOff>0</xdr:rowOff>
    </xdr:from>
    <xdr:to>
      <xdr:col>10</xdr:col>
      <xdr:colOff>0</xdr:colOff>
      <xdr:row>9</xdr:row>
      <xdr:rowOff>0</xdr:rowOff>
    </xdr:to>
    <xdr:sp macro="" textlink="">
      <xdr:nvSpPr>
        <xdr:cNvPr id="18" name="Rectangle 17">
          <a:extLst>
            <a:ext uri="{FF2B5EF4-FFF2-40B4-BE49-F238E27FC236}">
              <a16:creationId xmlns:a16="http://schemas.microsoft.com/office/drawing/2014/main" id="{E544D091-84D0-4E85-9868-C742EA8BD751}"/>
            </a:ext>
          </a:extLst>
        </xdr:cNvPr>
        <xdr:cNvSpPr/>
      </xdr:nvSpPr>
      <xdr:spPr>
        <a:xfrm>
          <a:off x="3657600" y="1097280"/>
          <a:ext cx="2438400" cy="548640"/>
        </a:xfrm>
        <a:prstGeom prst="rect">
          <a:avLst/>
        </a:prstGeom>
        <a:solidFill>
          <a:sysClr val="window" lastClr="FFFFFF"/>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tx1"/>
              </a:solidFill>
            </a:rPr>
            <a:t>Total Budget Revenue</a:t>
          </a:r>
        </a:p>
      </xdr:txBody>
    </xdr:sp>
    <xdr:clientData/>
  </xdr:twoCellAnchor>
  <xdr:twoCellAnchor>
    <xdr:from>
      <xdr:col>3</xdr:col>
      <xdr:colOff>0</xdr:colOff>
      <xdr:row>16</xdr:row>
      <xdr:rowOff>0</xdr:rowOff>
    </xdr:from>
    <xdr:to>
      <xdr:col>7</xdr:col>
      <xdr:colOff>0</xdr:colOff>
      <xdr:row>19</xdr:row>
      <xdr:rowOff>0</xdr:rowOff>
    </xdr:to>
    <xdr:sp macro="" textlink="">
      <xdr:nvSpPr>
        <xdr:cNvPr id="19" name="Rectangle 18">
          <a:extLst>
            <a:ext uri="{FF2B5EF4-FFF2-40B4-BE49-F238E27FC236}">
              <a16:creationId xmlns:a16="http://schemas.microsoft.com/office/drawing/2014/main" id="{87ABC2F2-7DC6-47C3-A68F-69C66C507C0E}"/>
            </a:ext>
          </a:extLst>
        </xdr:cNvPr>
        <xdr:cNvSpPr/>
      </xdr:nvSpPr>
      <xdr:spPr>
        <a:xfrm>
          <a:off x="1828800" y="2607733"/>
          <a:ext cx="2438400" cy="558800"/>
        </a:xfrm>
        <a:prstGeom prst="rect">
          <a:avLst/>
        </a:prstGeom>
        <a:solidFill>
          <a:sysClr val="window" lastClr="FFFFFF"/>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tx1"/>
              </a:solidFill>
            </a:rPr>
            <a:t>Total Budget Operating Profit</a:t>
          </a:r>
        </a:p>
      </xdr:txBody>
    </xdr:sp>
    <xdr:clientData/>
  </xdr:twoCellAnchor>
  <xdr:twoCellAnchor>
    <xdr:from>
      <xdr:col>1</xdr:col>
      <xdr:colOff>0</xdr:colOff>
      <xdr:row>7</xdr:row>
      <xdr:rowOff>0</xdr:rowOff>
    </xdr:from>
    <xdr:to>
      <xdr:col>5</xdr:col>
      <xdr:colOff>0</xdr:colOff>
      <xdr:row>9</xdr:row>
      <xdr:rowOff>0</xdr:rowOff>
    </xdr:to>
    <xdr:sp macro="" textlink="">
      <xdr:nvSpPr>
        <xdr:cNvPr id="20" name="TextBox 19">
          <a:extLst>
            <a:ext uri="{FF2B5EF4-FFF2-40B4-BE49-F238E27FC236}">
              <a16:creationId xmlns:a16="http://schemas.microsoft.com/office/drawing/2014/main" id="{111DDA81-499C-4338-D6C7-1AB823A269E2}"/>
            </a:ext>
          </a:extLst>
        </xdr:cNvPr>
        <xdr:cNvSpPr txBox="1"/>
      </xdr:nvSpPr>
      <xdr:spPr>
        <a:xfrm>
          <a:off x="609600" y="1280160"/>
          <a:ext cx="24384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$39.9M</a:t>
          </a:r>
        </a:p>
      </xdr:txBody>
    </xdr:sp>
    <xdr:clientData/>
  </xdr:twoCellAnchor>
  <xdr:twoCellAnchor>
    <xdr:from>
      <xdr:col>6</xdr:col>
      <xdr:colOff>0</xdr:colOff>
      <xdr:row>6</xdr:row>
      <xdr:rowOff>167640</xdr:rowOff>
    </xdr:from>
    <xdr:to>
      <xdr:col>10</xdr:col>
      <xdr:colOff>0</xdr:colOff>
      <xdr:row>8</xdr:row>
      <xdr:rowOff>167640</xdr:rowOff>
    </xdr:to>
    <xdr:sp macro="" textlink="">
      <xdr:nvSpPr>
        <xdr:cNvPr id="21" name="TextBox 20">
          <a:extLst>
            <a:ext uri="{FF2B5EF4-FFF2-40B4-BE49-F238E27FC236}">
              <a16:creationId xmlns:a16="http://schemas.microsoft.com/office/drawing/2014/main" id="{D86A58E3-55B9-43EC-83E4-0AE09100B1BC}"/>
            </a:ext>
          </a:extLst>
        </xdr:cNvPr>
        <xdr:cNvSpPr txBox="1"/>
      </xdr:nvSpPr>
      <xdr:spPr>
        <a:xfrm>
          <a:off x="3657600" y="1264920"/>
          <a:ext cx="24384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effectLst/>
            </a:rPr>
            <a:t>$38.5M</a:t>
          </a:r>
        </a:p>
      </xdr:txBody>
    </xdr:sp>
    <xdr:clientData/>
  </xdr:twoCellAnchor>
  <xdr:twoCellAnchor>
    <xdr:from>
      <xdr:col>11</xdr:col>
      <xdr:colOff>0</xdr:colOff>
      <xdr:row>7</xdr:row>
      <xdr:rowOff>0</xdr:rowOff>
    </xdr:from>
    <xdr:to>
      <xdr:col>15</xdr:col>
      <xdr:colOff>0</xdr:colOff>
      <xdr:row>9</xdr:row>
      <xdr:rowOff>0</xdr:rowOff>
    </xdr:to>
    <xdr:sp macro="" textlink="">
      <xdr:nvSpPr>
        <xdr:cNvPr id="22" name="TextBox 21">
          <a:extLst>
            <a:ext uri="{FF2B5EF4-FFF2-40B4-BE49-F238E27FC236}">
              <a16:creationId xmlns:a16="http://schemas.microsoft.com/office/drawing/2014/main" id="{BAB78839-D15D-4138-8E23-6BB53488AADE}"/>
            </a:ext>
          </a:extLst>
        </xdr:cNvPr>
        <xdr:cNvSpPr txBox="1"/>
      </xdr:nvSpPr>
      <xdr:spPr>
        <a:xfrm>
          <a:off x="6705600" y="1280160"/>
          <a:ext cx="24384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rgbClr val="00B050"/>
              </a:solidFill>
              <a:effectLst/>
            </a:rPr>
            <a:t>$1.4M</a:t>
          </a:r>
        </a:p>
      </xdr:txBody>
    </xdr:sp>
    <xdr:clientData/>
  </xdr:twoCellAnchor>
  <xdr:twoCellAnchor>
    <xdr:from>
      <xdr:col>16</xdr:col>
      <xdr:colOff>0</xdr:colOff>
      <xdr:row>7</xdr:row>
      <xdr:rowOff>0</xdr:rowOff>
    </xdr:from>
    <xdr:to>
      <xdr:col>20</xdr:col>
      <xdr:colOff>0</xdr:colOff>
      <xdr:row>9</xdr:row>
      <xdr:rowOff>0</xdr:rowOff>
    </xdr:to>
    <xdr:sp macro="" textlink="">
      <xdr:nvSpPr>
        <xdr:cNvPr id="23" name="TextBox 22">
          <a:extLst>
            <a:ext uri="{FF2B5EF4-FFF2-40B4-BE49-F238E27FC236}">
              <a16:creationId xmlns:a16="http://schemas.microsoft.com/office/drawing/2014/main" id="{C8F1C207-5626-4619-9298-80B48A78367B}"/>
            </a:ext>
          </a:extLst>
        </xdr:cNvPr>
        <xdr:cNvSpPr txBox="1"/>
      </xdr:nvSpPr>
      <xdr:spPr>
        <a:xfrm>
          <a:off x="9753600" y="1280160"/>
          <a:ext cx="24384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rgbClr val="00B050"/>
              </a:solidFill>
              <a:effectLst/>
            </a:rPr>
            <a:t>3.7%</a:t>
          </a:r>
        </a:p>
      </xdr:txBody>
    </xdr:sp>
    <xdr:clientData/>
  </xdr:twoCellAnchor>
  <xdr:twoCellAnchor>
    <xdr:from>
      <xdr:col>1</xdr:col>
      <xdr:colOff>0</xdr:colOff>
      <xdr:row>11</xdr:row>
      <xdr:rowOff>167640</xdr:rowOff>
    </xdr:from>
    <xdr:to>
      <xdr:col>5</xdr:col>
      <xdr:colOff>0</xdr:colOff>
      <xdr:row>13</xdr:row>
      <xdr:rowOff>167640</xdr:rowOff>
    </xdr:to>
    <xdr:sp macro="" textlink="">
      <xdr:nvSpPr>
        <xdr:cNvPr id="24" name="TextBox 23">
          <a:extLst>
            <a:ext uri="{FF2B5EF4-FFF2-40B4-BE49-F238E27FC236}">
              <a16:creationId xmlns:a16="http://schemas.microsoft.com/office/drawing/2014/main" id="{967E5F1C-0991-497C-A680-BFE71D504E05}"/>
            </a:ext>
          </a:extLst>
        </xdr:cNvPr>
        <xdr:cNvSpPr txBox="1"/>
      </xdr:nvSpPr>
      <xdr:spPr>
        <a:xfrm>
          <a:off x="609600" y="1996440"/>
          <a:ext cx="24384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effectLst/>
            </a:rPr>
            <a:t>$13.7M</a:t>
          </a:r>
        </a:p>
      </xdr:txBody>
    </xdr:sp>
    <xdr:clientData/>
  </xdr:twoCellAnchor>
  <xdr:twoCellAnchor>
    <xdr:from>
      <xdr:col>6</xdr:col>
      <xdr:colOff>0</xdr:colOff>
      <xdr:row>12</xdr:row>
      <xdr:rowOff>0</xdr:rowOff>
    </xdr:from>
    <xdr:to>
      <xdr:col>10</xdr:col>
      <xdr:colOff>0</xdr:colOff>
      <xdr:row>14</xdr:row>
      <xdr:rowOff>0</xdr:rowOff>
    </xdr:to>
    <xdr:sp macro="" textlink="">
      <xdr:nvSpPr>
        <xdr:cNvPr id="25" name="TextBox 24">
          <a:extLst>
            <a:ext uri="{FF2B5EF4-FFF2-40B4-BE49-F238E27FC236}">
              <a16:creationId xmlns:a16="http://schemas.microsoft.com/office/drawing/2014/main" id="{5A8DF5F2-051C-47AC-A77D-34E00D052A9B}"/>
            </a:ext>
          </a:extLst>
        </xdr:cNvPr>
        <xdr:cNvSpPr txBox="1"/>
      </xdr:nvSpPr>
      <xdr:spPr>
        <a:xfrm>
          <a:off x="3657600" y="2011680"/>
          <a:ext cx="24384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effectLst/>
            </a:rPr>
            <a:t>34.4%</a:t>
          </a:r>
        </a:p>
      </xdr:txBody>
    </xdr:sp>
    <xdr:clientData/>
  </xdr:twoCellAnchor>
  <xdr:twoCellAnchor>
    <xdr:from>
      <xdr:col>11</xdr:col>
      <xdr:colOff>0</xdr:colOff>
      <xdr:row>11</xdr:row>
      <xdr:rowOff>175260</xdr:rowOff>
    </xdr:from>
    <xdr:to>
      <xdr:col>15</xdr:col>
      <xdr:colOff>0</xdr:colOff>
      <xdr:row>13</xdr:row>
      <xdr:rowOff>175260</xdr:rowOff>
    </xdr:to>
    <xdr:sp macro="" textlink="">
      <xdr:nvSpPr>
        <xdr:cNvPr id="26" name="TextBox 25">
          <a:extLst>
            <a:ext uri="{FF2B5EF4-FFF2-40B4-BE49-F238E27FC236}">
              <a16:creationId xmlns:a16="http://schemas.microsoft.com/office/drawing/2014/main" id="{2B4110B3-3561-4A14-9A94-6B3688D5900C}"/>
            </a:ext>
          </a:extLst>
        </xdr:cNvPr>
        <xdr:cNvSpPr txBox="1"/>
      </xdr:nvSpPr>
      <xdr:spPr>
        <a:xfrm>
          <a:off x="6705600" y="2004060"/>
          <a:ext cx="24384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effectLst/>
            </a:rPr>
            <a:t>$6.9M</a:t>
          </a:r>
        </a:p>
      </xdr:txBody>
    </xdr:sp>
    <xdr:clientData/>
  </xdr:twoCellAnchor>
  <xdr:twoCellAnchor>
    <xdr:from>
      <xdr:col>16</xdr:col>
      <xdr:colOff>0</xdr:colOff>
      <xdr:row>12</xdr:row>
      <xdr:rowOff>0</xdr:rowOff>
    </xdr:from>
    <xdr:to>
      <xdr:col>20</xdr:col>
      <xdr:colOff>0</xdr:colOff>
      <xdr:row>13</xdr:row>
      <xdr:rowOff>186266</xdr:rowOff>
    </xdr:to>
    <xdr:sp macro="" textlink="">
      <xdr:nvSpPr>
        <xdr:cNvPr id="27" name="TextBox 26">
          <a:extLst>
            <a:ext uri="{FF2B5EF4-FFF2-40B4-BE49-F238E27FC236}">
              <a16:creationId xmlns:a16="http://schemas.microsoft.com/office/drawing/2014/main" id="{6E40A9C9-FC7F-4A6B-9336-C4D6EC6AB332}"/>
            </a:ext>
          </a:extLst>
        </xdr:cNvPr>
        <xdr:cNvSpPr txBox="1"/>
      </xdr:nvSpPr>
      <xdr:spPr>
        <a:xfrm>
          <a:off x="9753600" y="2048933"/>
          <a:ext cx="2438400" cy="372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effectLst/>
            </a:rPr>
            <a:t>17.3%</a:t>
          </a:r>
        </a:p>
      </xdr:txBody>
    </xdr:sp>
    <xdr:clientData/>
  </xdr:twoCellAnchor>
  <xdr:twoCellAnchor>
    <xdr:from>
      <xdr:col>3</xdr:col>
      <xdr:colOff>0</xdr:colOff>
      <xdr:row>17</xdr:row>
      <xdr:rowOff>0</xdr:rowOff>
    </xdr:from>
    <xdr:to>
      <xdr:col>7</xdr:col>
      <xdr:colOff>0</xdr:colOff>
      <xdr:row>19</xdr:row>
      <xdr:rowOff>0</xdr:rowOff>
    </xdr:to>
    <xdr:sp macro="" textlink="">
      <xdr:nvSpPr>
        <xdr:cNvPr id="28" name="TextBox 27">
          <a:extLst>
            <a:ext uri="{FF2B5EF4-FFF2-40B4-BE49-F238E27FC236}">
              <a16:creationId xmlns:a16="http://schemas.microsoft.com/office/drawing/2014/main" id="{4E73A0FF-EACF-43DA-8307-CA08E9F4B4AD}"/>
            </a:ext>
          </a:extLst>
        </xdr:cNvPr>
        <xdr:cNvSpPr txBox="1"/>
      </xdr:nvSpPr>
      <xdr:spPr>
        <a:xfrm>
          <a:off x="1828800" y="2794000"/>
          <a:ext cx="2438400" cy="372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effectLst/>
            </a:rPr>
            <a:t>$7.8M</a:t>
          </a:r>
        </a:p>
      </xdr:txBody>
    </xdr:sp>
    <xdr:clientData/>
  </xdr:twoCellAnchor>
  <xdr:twoCellAnchor>
    <xdr:from>
      <xdr:col>8</xdr:col>
      <xdr:colOff>262466</xdr:colOff>
      <xdr:row>16</xdr:row>
      <xdr:rowOff>160867</xdr:rowOff>
    </xdr:from>
    <xdr:to>
      <xdr:col>12</xdr:col>
      <xdr:colOff>262466</xdr:colOff>
      <xdr:row>18</xdr:row>
      <xdr:rowOff>160866</xdr:rowOff>
    </xdr:to>
    <xdr:sp macro="" textlink="">
      <xdr:nvSpPr>
        <xdr:cNvPr id="29" name="TextBox 28">
          <a:extLst>
            <a:ext uri="{FF2B5EF4-FFF2-40B4-BE49-F238E27FC236}">
              <a16:creationId xmlns:a16="http://schemas.microsoft.com/office/drawing/2014/main" id="{72862DD4-4A12-4425-AEB9-A1DA56A06880}"/>
            </a:ext>
          </a:extLst>
        </xdr:cNvPr>
        <xdr:cNvSpPr txBox="1"/>
      </xdr:nvSpPr>
      <xdr:spPr>
        <a:xfrm>
          <a:off x="5139266" y="2768600"/>
          <a:ext cx="2438400" cy="372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rgbClr val="FF0000"/>
              </a:solidFill>
              <a:effectLst/>
            </a:rPr>
            <a:t>-$0.9M</a:t>
          </a:r>
        </a:p>
      </xdr:txBody>
    </xdr:sp>
    <xdr:clientData/>
  </xdr:twoCellAnchor>
  <xdr:twoCellAnchor>
    <xdr:from>
      <xdr:col>14</xdr:col>
      <xdr:colOff>0</xdr:colOff>
      <xdr:row>17</xdr:row>
      <xdr:rowOff>0</xdr:rowOff>
    </xdr:from>
    <xdr:to>
      <xdr:col>18</xdr:col>
      <xdr:colOff>0</xdr:colOff>
      <xdr:row>19</xdr:row>
      <xdr:rowOff>0</xdr:rowOff>
    </xdr:to>
    <xdr:sp macro="" textlink="">
      <xdr:nvSpPr>
        <xdr:cNvPr id="30" name="TextBox 29">
          <a:extLst>
            <a:ext uri="{FF2B5EF4-FFF2-40B4-BE49-F238E27FC236}">
              <a16:creationId xmlns:a16="http://schemas.microsoft.com/office/drawing/2014/main" id="{2E5A1944-DEFA-4B6D-B501-65EA76ADCFB8}"/>
            </a:ext>
          </a:extLst>
        </xdr:cNvPr>
        <xdr:cNvSpPr txBox="1"/>
      </xdr:nvSpPr>
      <xdr:spPr>
        <a:xfrm>
          <a:off x="8534400" y="2794000"/>
          <a:ext cx="2438400" cy="372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rgbClr val="FF0000"/>
              </a:solidFill>
              <a:effectLst/>
            </a:rPr>
            <a:t>-11.9%</a:t>
          </a:r>
        </a:p>
      </xdr:txBody>
    </xdr:sp>
    <xdr:clientData/>
  </xdr:twoCellAnchor>
  <xdr:twoCellAnchor>
    <xdr:from>
      <xdr:col>8</xdr:col>
      <xdr:colOff>609599</xdr:colOff>
      <xdr:row>24</xdr:row>
      <xdr:rowOff>0</xdr:rowOff>
    </xdr:from>
    <xdr:to>
      <xdr:col>18</xdr:col>
      <xdr:colOff>448733</xdr:colOff>
      <xdr:row>43</xdr:row>
      <xdr:rowOff>174171</xdr:rowOff>
    </xdr:to>
    <xdr:graphicFrame macro="">
      <xdr:nvGraphicFramePr>
        <xdr:cNvPr id="2" name="Chart 1">
          <a:extLst>
            <a:ext uri="{FF2B5EF4-FFF2-40B4-BE49-F238E27FC236}">
              <a16:creationId xmlns:a16="http://schemas.microsoft.com/office/drawing/2014/main" id="{C7F1019E-5457-4452-9D1A-79579A1F50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0</xdr:colOff>
      <xdr:row>24</xdr:row>
      <xdr:rowOff>0</xdr:rowOff>
    </xdr:from>
    <xdr:to>
      <xdr:col>25</xdr:col>
      <xdr:colOff>304799</xdr:colOff>
      <xdr:row>43</xdr:row>
      <xdr:rowOff>141513</xdr:rowOff>
    </xdr:to>
    <xdr:graphicFrame macro="">
      <xdr:nvGraphicFramePr>
        <xdr:cNvPr id="5" name="Chart 4">
          <a:extLst>
            <a:ext uri="{FF2B5EF4-FFF2-40B4-BE49-F238E27FC236}">
              <a16:creationId xmlns:a16="http://schemas.microsoft.com/office/drawing/2014/main" id="{1D279EA1-B709-4B38-ABC9-3CA20DD186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524933</xdr:colOff>
      <xdr:row>45</xdr:row>
      <xdr:rowOff>6970</xdr:rowOff>
    </xdr:from>
    <xdr:to>
      <xdr:col>13</xdr:col>
      <xdr:colOff>524933</xdr:colOff>
      <xdr:row>65</xdr:row>
      <xdr:rowOff>67235</xdr:rowOff>
    </xdr:to>
    <xdr:graphicFrame macro="">
      <xdr:nvGraphicFramePr>
        <xdr:cNvPr id="7" name="Chart 6">
          <a:extLst>
            <a:ext uri="{FF2B5EF4-FFF2-40B4-BE49-F238E27FC236}">
              <a16:creationId xmlns:a16="http://schemas.microsoft.com/office/drawing/2014/main" id="{D8108503-4DCF-4BFF-B7A4-7D851D947F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0</xdr:colOff>
      <xdr:row>45</xdr:row>
      <xdr:rowOff>0</xdr:rowOff>
    </xdr:from>
    <xdr:to>
      <xdr:col>25</xdr:col>
      <xdr:colOff>245533</xdr:colOff>
      <xdr:row>65</xdr:row>
      <xdr:rowOff>78441</xdr:rowOff>
    </xdr:to>
    <xdr:graphicFrame macro="">
      <xdr:nvGraphicFramePr>
        <xdr:cNvPr id="8" name="Chart 7">
          <a:extLst>
            <a:ext uri="{FF2B5EF4-FFF2-40B4-BE49-F238E27FC236}">
              <a16:creationId xmlns:a16="http://schemas.microsoft.com/office/drawing/2014/main" id="{161E7756-4D21-4BE8-BA78-057C513EAE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482601</xdr:colOff>
      <xdr:row>24</xdr:row>
      <xdr:rowOff>0</xdr:rowOff>
    </xdr:from>
    <xdr:to>
      <xdr:col>9</xdr:col>
      <xdr:colOff>0</xdr:colOff>
      <xdr:row>43</xdr:row>
      <xdr:rowOff>186266</xdr:rowOff>
    </xdr:to>
    <xdr:graphicFrame macro="">
      <xdr:nvGraphicFramePr>
        <xdr:cNvPr id="31" name="Chart 30">
          <a:extLst>
            <a:ext uri="{FF2B5EF4-FFF2-40B4-BE49-F238E27FC236}">
              <a16:creationId xmlns:a16="http://schemas.microsoft.com/office/drawing/2014/main" id="{71EBFE0E-EA56-4349-A3DD-31EFCA254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440267</xdr:colOff>
      <xdr:row>1</xdr:row>
      <xdr:rowOff>8466</xdr:rowOff>
    </xdr:from>
    <xdr:to>
      <xdr:col>25</xdr:col>
      <xdr:colOff>440267</xdr:colOff>
      <xdr:row>12</xdr:row>
      <xdr:rowOff>67733</xdr:rowOff>
    </xdr:to>
    <mc:AlternateContent xmlns:mc="http://schemas.openxmlformats.org/markup-compatibility/2006" xmlns:a14="http://schemas.microsoft.com/office/drawing/2010/main">
      <mc:Choice Requires="a14">
        <xdr:graphicFrame macro="">
          <xdr:nvGraphicFramePr>
            <xdr:cNvPr id="32" name="Department">
              <a:extLst>
                <a:ext uri="{FF2B5EF4-FFF2-40B4-BE49-F238E27FC236}">
                  <a16:creationId xmlns:a16="http://schemas.microsoft.com/office/drawing/2014/main" id="{8C8BBD43-38F2-49DA-A9C7-5E4A684F363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3851467" y="194733"/>
              <a:ext cx="1828800" cy="2108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93133</xdr:colOff>
      <xdr:row>1</xdr:row>
      <xdr:rowOff>8466</xdr:rowOff>
    </xdr:from>
    <xdr:to>
      <xdr:col>22</xdr:col>
      <xdr:colOff>448733</xdr:colOff>
      <xdr:row>21</xdr:row>
      <xdr:rowOff>25400</xdr:rowOff>
    </xdr:to>
    <mc:AlternateContent xmlns:mc="http://schemas.openxmlformats.org/markup-compatibility/2006" xmlns:a14="http://schemas.microsoft.com/office/drawing/2010/main">
      <mc:Choice Requires="a14">
        <xdr:graphicFrame macro="">
          <xdr:nvGraphicFramePr>
            <xdr:cNvPr id="36" name="Month">
              <a:extLst>
                <a:ext uri="{FF2B5EF4-FFF2-40B4-BE49-F238E27FC236}">
                  <a16:creationId xmlns:a16="http://schemas.microsoft.com/office/drawing/2014/main" id="{C14036CE-160E-438E-A99C-278E28C8E87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285133" y="194733"/>
              <a:ext cx="1574800" cy="37930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440267</xdr:colOff>
      <xdr:row>12</xdr:row>
      <xdr:rowOff>67733</xdr:rowOff>
    </xdr:from>
    <xdr:to>
      <xdr:col>25</xdr:col>
      <xdr:colOff>440268</xdr:colOff>
      <xdr:row>21</xdr:row>
      <xdr:rowOff>25400</xdr:rowOff>
    </xdr:to>
    <mc:AlternateContent xmlns:mc="http://schemas.openxmlformats.org/markup-compatibility/2006" xmlns:a14="http://schemas.microsoft.com/office/drawing/2010/main">
      <mc:Choice Requires="a14">
        <xdr:graphicFrame macro="">
          <xdr:nvGraphicFramePr>
            <xdr:cNvPr id="37" name="Sales Channel">
              <a:extLst>
                <a:ext uri="{FF2B5EF4-FFF2-40B4-BE49-F238E27FC236}">
                  <a16:creationId xmlns:a16="http://schemas.microsoft.com/office/drawing/2014/main" id="{8933600A-C604-4516-9065-827960096B4C}"/>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3851467" y="2302933"/>
              <a:ext cx="1828801" cy="16848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y Quinones" refreshedDate="46175.133675462966" createdVersion="8" refreshedVersion="8" minRefreshableVersion="3" recordCount="180" xr:uid="{5EB53DB9-3EC5-4046-9EB9-A1DE678D2038}">
  <cacheSource type="worksheet">
    <worksheetSource name="FinancialAnalysis"/>
  </cacheSource>
  <cacheFields count="20">
    <cacheField name="Month" numFmtId="0">
      <sharedItems count="12">
        <s v="Jan"/>
        <s v="Feb"/>
        <s v="Mar"/>
        <s v="Apr"/>
        <s v="May"/>
        <s v="Jun"/>
        <s v="Jul"/>
        <s v="Aug"/>
        <s v="Sep"/>
        <s v="Oct"/>
        <s v="Nov"/>
        <s v="Dec"/>
      </sharedItems>
    </cacheField>
    <cacheField name="Sales Channel" numFmtId="0">
      <sharedItems count="3">
        <s v="Online"/>
        <s v="Retail"/>
        <s v="Wholesale"/>
      </sharedItems>
    </cacheField>
    <cacheField name="Department" numFmtId="0">
      <sharedItems count="5">
        <s v="Furniture"/>
        <s v="Home Decor"/>
        <s v="Kitchen"/>
        <s v="Appliances"/>
        <s v="Seasonal"/>
      </sharedItems>
    </cacheField>
    <cacheField name="Units Sold" numFmtId="164">
      <sharedItems containsSemiMixedTypes="0" containsString="0" containsNumber="1" containsInteger="1" minValue="333" maxValue="3421"/>
    </cacheField>
    <cacheField name="Average Selling Price" numFmtId="166">
      <sharedItems containsSemiMixedTypes="0" containsString="0" containsNumber="1" containsInteger="1" minValue="16" maxValue="598"/>
    </cacheField>
    <cacheField name="Revenue" numFmtId="166">
      <sharedItems containsSemiMixedTypes="0" containsString="0" containsNumber="1" containsInteger="1" minValue="18316" maxValue="1605009"/>
    </cacheField>
    <cacheField name="Cost of Goods Sold" numFmtId="166">
      <sharedItems containsSemiMixedTypes="0" containsString="0" containsNumber="1" minValue="9194.6319999999996" maxValue="1196052.7068"/>
    </cacheField>
    <cacheField name="Marketing Expense" numFmtId="166">
      <sharedItems containsSemiMixedTypes="0" containsString="0" containsNumber="1" minValue="953.93759999999997" maxValue="118011.0404"/>
    </cacheField>
    <cacheField name="Payroll Expense" numFmtId="166">
      <sharedItems containsSemiMixedTypes="0" containsString="0" containsNumber="1" containsInteger="1" minValue="4137" maxValue="19868"/>
    </cacheField>
    <cacheField name="Allocated Rent Expense" numFmtId="166">
      <sharedItems containsSemiMixedTypes="0" containsString="0" containsNumber="1" containsInteger="1" minValue="1025" maxValue="15680"/>
    </cacheField>
    <cacheField name="Other Expense" numFmtId="166">
      <sharedItems containsSemiMixedTypes="0" containsString="0" containsNumber="1" minValue="474.61919999999998" maxValue="57619.823100000001"/>
    </cacheField>
    <cacheField name="Total Operating Expenses" numFmtId="166">
      <sharedItems containsSemiMixedTypes="0" containsString="0" containsNumber="1" minValue="10692.188" maxValue="167387.03"/>
    </cacheField>
    <cacheField name="Gross Profit" numFmtId="166">
      <sharedItems containsSemiMixedTypes="0" containsString="0" containsNumber="1" minValue="6821.6505000000016" maxValue="475562.01"/>
    </cacheField>
    <cacheField name="Operating Profit" numFmtId="166">
      <sharedItems containsSemiMixedTypes="0" containsString="0" containsNumber="1" minValue="-24261.317999999992" maxValue="349970.74900000001"/>
    </cacheField>
    <cacheField name="Gross Margin" numFmtId="167">
      <sharedItems containsSemiMixedTypes="0" containsString="0" containsNumber="1" minValue="0.24009999999999995" maxValue="0.53939999999999999"/>
    </cacheField>
    <cacheField name="Operating Margin" numFmtId="167">
      <sharedItems containsSemiMixedTypes="0" containsString="0" containsNumber="1" minValue="-1.1864387420834241" maxValue="0.39309143878777214"/>
    </cacheField>
    <cacheField name="Revenue Per Unit" numFmtId="165">
      <sharedItems containsSemiMixedTypes="0" containsString="0" containsNumber="1" containsInteger="1" minValue="16" maxValue="598"/>
    </cacheField>
    <cacheField name="COGS Per Unit" numFmtId="165">
      <sharedItems containsSemiMixedTypes="0" containsString="0" containsNumber="1" minValue="10.260800000000001" maxValue="420.30239999999998"/>
    </cacheField>
    <cacheField name="Expense Ratio" numFmtId="167">
      <sharedItems containsSemiMixedTypes="0" containsString="0" containsNumber="1" minValue="6.7691194031574448E-2" maxValue="1.6844387420834244"/>
    </cacheField>
    <cacheField name="Profit Status" numFmtId="166">
      <sharedItems/>
    </cacheField>
  </cacheFields>
  <extLst>
    <ext xmlns:x14="http://schemas.microsoft.com/office/spreadsheetml/2009/9/main" uri="{725AE2AE-9491-48be-B2B4-4EB974FC3084}">
      <x14:pivotCacheDefinition pivotCacheId="5502158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
  <r>
    <x v="0"/>
    <x v="0"/>
    <x v="0"/>
    <n v="1984"/>
    <n v="100"/>
    <n v="198400"/>
    <n v="136558.72"/>
    <n v="20336"/>
    <n v="11768"/>
    <n v="1365"/>
    <n v="11606.4"/>
    <n v="45075.4"/>
    <n v="61841.279999999999"/>
    <n v="16765.879999999997"/>
    <n v="0.31169999999999998"/>
    <n v="8.4505443548387085E-2"/>
    <n v="100"/>
    <n v="68.83"/>
    <n v="0.22719455645161291"/>
    <s v="Profitable"/>
  </r>
  <r>
    <x v="0"/>
    <x v="0"/>
    <x v="1"/>
    <n v="1117"/>
    <n v="70"/>
    <n v="78190"/>
    <n v="44474.471999999994"/>
    <n v="6591.4170000000004"/>
    <n v="11455"/>
    <n v="2935"/>
    <n v="1806.1890000000001"/>
    <n v="22787.606"/>
    <n v="33715.528000000006"/>
    <n v="10927.922000000006"/>
    <n v="0.43120000000000008"/>
    <n v="0.13976112034787064"/>
    <n v="70"/>
    <n v="39.815999999999995"/>
    <n v="0.29143887965212945"/>
    <s v="Profitable"/>
  </r>
  <r>
    <x v="0"/>
    <x v="0"/>
    <x v="2"/>
    <n v="1282"/>
    <n v="71"/>
    <n v="91022"/>
    <n v="51463.838799999998"/>
    <n v="6844.8544000000002"/>
    <n v="7845"/>
    <n v="1830"/>
    <n v="2730.66"/>
    <n v="19250.5144"/>
    <n v="39558.161200000002"/>
    <n v="20307.646800000002"/>
    <n v="0.43460000000000004"/>
    <n v="0.22310701588626927"/>
    <n v="71"/>
    <n v="40.1434"/>
    <n v="0.21149298411373074"/>
    <s v="Profitable"/>
  </r>
  <r>
    <x v="0"/>
    <x v="0"/>
    <x v="3"/>
    <n v="2088"/>
    <n v="415"/>
    <n v="866520"/>
    <n v="582214.78800000006"/>
    <n v="64815.696000000004"/>
    <n v="8127"/>
    <n v="3628"/>
    <n v="17677.008000000002"/>
    <n v="94247.703999999998"/>
    <n v="284305.21199999994"/>
    <n v="190057.50799999994"/>
    <n v="0.32809999999999995"/>
    <n v="0.21933424271799837"/>
    <n v="415"/>
    <n v="278.83850000000001"/>
    <n v="0.10876575728200157"/>
    <s v="Profitable"/>
  </r>
  <r>
    <x v="0"/>
    <x v="0"/>
    <x v="4"/>
    <n v="1859"/>
    <n v="36"/>
    <n v="66924"/>
    <n v="33348.229200000002"/>
    <n v="4611.0636000000004"/>
    <n v="5630"/>
    <n v="3054"/>
    <n v="3707.5895999999998"/>
    <n v="17002.653200000001"/>
    <n v="33575.770799999998"/>
    <n v="16573.117599999998"/>
    <n v="0.50169999999999992"/>
    <n v="0.2476408702408702"/>
    <n v="36"/>
    <n v="17.938800000000001"/>
    <n v="0.25405912975912975"/>
    <s v="Profitable"/>
  </r>
  <r>
    <x v="0"/>
    <x v="1"/>
    <x v="0"/>
    <n v="1321"/>
    <n v="226"/>
    <n v="298546"/>
    <n v="214803.84700000001"/>
    <n v="18718.834200000001"/>
    <n v="17326"/>
    <n v="15411"/>
    <n v="13882.388999999999"/>
    <n v="65338.223199999993"/>
    <n v="83742.152999999991"/>
    <n v="18403.929799999998"/>
    <n v="0.28049999999999997"/>
    <n v="6.1645206433849381E-2"/>
    <n v="226"/>
    <n v="162.607"/>
    <n v="0.21885479356615059"/>
    <s v="Profitable"/>
  </r>
  <r>
    <x v="0"/>
    <x v="1"/>
    <x v="1"/>
    <n v="703"/>
    <n v="61"/>
    <n v="42883"/>
    <n v="23426.982899999999"/>
    <n v="2988.9450999999999"/>
    <n v="9272"/>
    <n v="8452"/>
    <n v="1904.0052000000001"/>
    <n v="22616.9503"/>
    <n v="19456.017100000001"/>
    <n v="-3160.9331999999995"/>
    <n v="0.45370000000000005"/>
    <n v="-7.3710635916330466E-2"/>
    <n v="61"/>
    <n v="33.324300000000001"/>
    <n v="0.52741063591633053"/>
    <s v="Not Profitable"/>
  </r>
  <r>
    <x v="0"/>
    <x v="1"/>
    <x v="2"/>
    <n v="1041"/>
    <n v="38"/>
    <n v="39558"/>
    <n v="21863.706599999998"/>
    <n v="2365.5684000000001"/>
    <n v="8564"/>
    <n v="15680"/>
    <n v="2353.701"/>
    <n v="28963.269400000001"/>
    <n v="17694.293400000002"/>
    <n v="-11268.975999999999"/>
    <n v="0.44730000000000003"/>
    <n v="-0.28487223823246877"/>
    <n v="38"/>
    <n v="21.002599999999997"/>
    <n v="0.7321722382324688"/>
    <s v="Not Profitable"/>
  </r>
  <r>
    <x v="0"/>
    <x v="1"/>
    <x v="3"/>
    <n v="852"/>
    <n v="192"/>
    <n v="163584"/>
    <n v="103286.93759999999"/>
    <n v="5676.3648000000003"/>
    <n v="14006"/>
    <n v="12582"/>
    <n v="6232.5504000000001"/>
    <n v="38496.915200000003"/>
    <n v="60297.06240000001"/>
    <n v="21800.147200000007"/>
    <n v="0.36860000000000004"/>
    <n v="0.13326576682316124"/>
    <n v="192"/>
    <n v="121.22879999999999"/>
    <n v="0.23533423317683883"/>
    <s v="Profitable"/>
  </r>
  <r>
    <x v="0"/>
    <x v="1"/>
    <x v="4"/>
    <n v="1164"/>
    <n v="27"/>
    <n v="31428"/>
    <n v="19557.644399999997"/>
    <n v="1382.8319999999999"/>
    <n v="19539"/>
    <n v="14355"/>
    <n v="854.84159999999997"/>
    <n v="36131.673599999995"/>
    <n v="11870.355600000003"/>
    <n v="-24261.317999999992"/>
    <n v="0.37770000000000009"/>
    <n v="-0.7719650630011452"/>
    <n v="27"/>
    <n v="16.802099999999999"/>
    <n v="1.1496650630011453"/>
    <s v="Not Profitable"/>
  </r>
  <r>
    <x v="0"/>
    <x v="2"/>
    <x v="0"/>
    <n v="3419"/>
    <n v="147"/>
    <n v="502593"/>
    <n v="342416.61090000003"/>
    <n v="12564.825000000001"/>
    <n v="5082"/>
    <n v="3086"/>
    <n v="16334.272499999999"/>
    <n v="37067.097500000003"/>
    <n v="160176.38909999997"/>
    <n v="123109.29159999997"/>
    <n v="0.31869999999999993"/>
    <n v="0.24494828141259423"/>
    <n v="147"/>
    <n v="100.15110000000001"/>
    <n v="7.3751718587405715E-2"/>
    <s v="Profitable"/>
  </r>
  <r>
    <x v="0"/>
    <x v="2"/>
    <x v="1"/>
    <n v="3277"/>
    <n v="25"/>
    <n v="81925"/>
    <n v="48827.299999999996"/>
    <n v="3539.1600000000003"/>
    <n v="12480"/>
    <n v="2328"/>
    <n v="3309.77"/>
    <n v="21656.93"/>
    <n v="33097.700000000004"/>
    <n v="11440.770000000004"/>
    <n v="0.40400000000000003"/>
    <n v="0.13964931339639919"/>
    <n v="25"/>
    <n v="14.899999999999999"/>
    <n v="0.26435068660360084"/>
    <s v="Profitable"/>
  </r>
  <r>
    <x v="0"/>
    <x v="2"/>
    <x v="2"/>
    <n v="1625"/>
    <n v="32"/>
    <n v="52000"/>
    <n v="32650.799999999999"/>
    <n v="2225.6"/>
    <n v="11417"/>
    <n v="6582"/>
    <n v="3047.2"/>
    <n v="23271.8"/>
    <n v="19349.2"/>
    <n v="-3922.5999999999985"/>
    <n v="0.37209999999999999"/>
    <n v="-7.543461538461535E-2"/>
    <n v="32"/>
    <n v="20.0928"/>
    <n v="0.44753461538461536"/>
    <s v="Not Profitable"/>
  </r>
  <r>
    <x v="0"/>
    <x v="2"/>
    <x v="3"/>
    <n v="2999"/>
    <n v="315"/>
    <n v="944685"/>
    <n v="670820.81849999994"/>
    <n v="34197.597000000002"/>
    <n v="8563"/>
    <n v="2083"/>
    <n v="32213.7585"/>
    <n v="77057.355500000005"/>
    <n v="273864.18150000006"/>
    <n v="196806.82600000006"/>
    <n v="0.28990000000000005"/>
    <n v="0.20833063507941807"/>
    <n v="315"/>
    <n v="223.68149999999997"/>
    <n v="8.1569364920582005E-2"/>
    <s v="Profitable"/>
  </r>
  <r>
    <x v="0"/>
    <x v="2"/>
    <x v="4"/>
    <n v="1345"/>
    <n v="18"/>
    <n v="24210"/>
    <n v="14797.152"/>
    <n v="1070.0820000000001"/>
    <n v="5579"/>
    <n v="5098"/>
    <n v="1147.5540000000001"/>
    <n v="12894.636"/>
    <n v="9412.848"/>
    <n v="-3481.7880000000005"/>
    <n v="0.38879999999999998"/>
    <n v="-0.14381610904584885"/>
    <n v="18"/>
    <n v="11.0016"/>
    <n v="0.53261610904584888"/>
    <s v="Not Profitable"/>
  </r>
  <r>
    <x v="1"/>
    <x v="0"/>
    <x v="0"/>
    <n v="2147"/>
    <n v="85"/>
    <n v="182495"/>
    <n v="130757.66750000001"/>
    <n v="20822.679499999998"/>
    <n v="4278"/>
    <n v="3905"/>
    <n v="5073.3609999999999"/>
    <n v="34079.040499999996"/>
    <n v="51737.33249999999"/>
    <n v="17658.291999999994"/>
    <n v="0.28349999999999992"/>
    <n v="9.6760415353845275E-2"/>
    <n v="85"/>
    <n v="60.902500000000003"/>
    <n v="0.18673958464615467"/>
    <s v="Profitable"/>
  </r>
  <r>
    <x v="1"/>
    <x v="0"/>
    <x v="1"/>
    <n v="1015"/>
    <n v="41"/>
    <n v="41615"/>
    <n v="24061.793000000001"/>
    <n v="3578.89"/>
    <n v="9449"/>
    <n v="3387"/>
    <n v="1510.6244999999999"/>
    <n v="17925.514499999997"/>
    <n v="17553.206999999999"/>
    <n v="-372.30749999999898"/>
    <n v="0.42179999999999995"/>
    <n v="-8.9464736272978247E-3"/>
    <n v="41"/>
    <n v="23.706200000000003"/>
    <n v="0.43074647362729779"/>
    <s v="Not Profitable"/>
  </r>
  <r>
    <x v="1"/>
    <x v="0"/>
    <x v="2"/>
    <n v="1693"/>
    <n v="36"/>
    <n v="60948"/>
    <n v="36733.359600000003"/>
    <n v="5521.8887999999997"/>
    <n v="10784"/>
    <n v="2065"/>
    <n v="1999.0944"/>
    <n v="20369.983200000002"/>
    <n v="24214.640399999997"/>
    <n v="3844.6571999999942"/>
    <n v="0.39729999999999993"/>
    <n v="6.3080941130143633E-2"/>
    <n v="36"/>
    <n v="21.697200000000002"/>
    <n v="0.33421905886985631"/>
    <s v="Profitable"/>
  </r>
  <r>
    <x v="1"/>
    <x v="0"/>
    <x v="3"/>
    <n v="1324"/>
    <n v="213"/>
    <n v="282012"/>
    <n v="194475.47519999999"/>
    <n v="32262.1728"/>
    <n v="11190"/>
    <n v="1630"/>
    <n v="8855.1767999999993"/>
    <n v="53937.349600000001"/>
    <n v="87536.524800000014"/>
    <n v="33599.175200000012"/>
    <n v="0.31040000000000006"/>
    <n v="0.11914094152021905"/>
    <n v="213"/>
    <n v="146.88479999999998"/>
    <n v="0.191259058479781"/>
    <s v="Profitable"/>
  </r>
  <r>
    <x v="1"/>
    <x v="0"/>
    <x v="4"/>
    <n v="1410"/>
    <n v="87"/>
    <n v="122670"/>
    <n v="68474.394"/>
    <n v="8218.8900000000012"/>
    <n v="10173"/>
    <n v="2566"/>
    <n v="3557.43"/>
    <n v="24515.32"/>
    <n v="54195.606"/>
    <n v="29680.286"/>
    <n v="0.44179999999999997"/>
    <n v="0.24195227847069373"/>
    <n v="87"/>
    <n v="48.563400000000001"/>
    <n v="0.19984772152930627"/>
    <s v="Profitable"/>
  </r>
  <r>
    <x v="1"/>
    <x v="1"/>
    <x v="0"/>
    <n v="503"/>
    <n v="88"/>
    <n v="44264"/>
    <n v="27045.304"/>
    <n v="1894.4992"/>
    <n v="14733"/>
    <n v="9312"/>
    <n v="2208.7736"/>
    <n v="28148.272799999999"/>
    <n v="17218.696"/>
    <n v="-10929.576799999999"/>
    <n v="0.38900000000000001"/>
    <n v="-0.24691796493764681"/>
    <n v="88"/>
    <n v="53.768000000000001"/>
    <n v="0.63591796493764685"/>
    <s v="Not Profitable"/>
  </r>
  <r>
    <x v="1"/>
    <x v="1"/>
    <x v="1"/>
    <n v="1355"/>
    <n v="41"/>
    <n v="55555"/>
    <n v="27999.72"/>
    <n v="2849.9715000000001"/>
    <n v="9279"/>
    <n v="11897"/>
    <n v="1749.9825000000001"/>
    <n v="25775.953999999998"/>
    <n v="27555.279999999999"/>
    <n v="1779.3260000000009"/>
    <n v="0.496"/>
    <n v="3.2028188281882836E-2"/>
    <n v="41"/>
    <n v="20.664000000000001"/>
    <n v="0.46397181171811713"/>
    <s v="Profitable"/>
  </r>
  <r>
    <x v="1"/>
    <x v="1"/>
    <x v="2"/>
    <n v="1046"/>
    <n v="70"/>
    <n v="73220"/>
    <n v="43441.426000000007"/>
    <n v="2372.328"/>
    <n v="11087"/>
    <n v="11164"/>
    <n v="3909.9479999999999"/>
    <n v="28533.276000000002"/>
    <n v="29778.573999999993"/>
    <n v="1245.2979999999916"/>
    <n v="0.40669999999999989"/>
    <n v="1.7007620868615018E-2"/>
    <n v="70"/>
    <n v="41.531000000000006"/>
    <n v="0.38969237913138488"/>
    <s v="Profitable"/>
  </r>
  <r>
    <x v="1"/>
    <x v="1"/>
    <x v="3"/>
    <n v="1308"/>
    <n v="434"/>
    <n v="567672"/>
    <n v="430976.58240000001"/>
    <n v="38601.696000000004"/>
    <n v="10040"/>
    <n v="14857"/>
    <n v="21968.9064"/>
    <n v="85467.602400000003"/>
    <n v="136695.41759999999"/>
    <n v="51227.815199999983"/>
    <n v="0.24079999999999999"/>
    <n v="9.0241927028283903E-2"/>
    <n v="434"/>
    <n v="329.49279999999999"/>
    <n v="0.15055807297171606"/>
    <s v="Profitable"/>
  </r>
  <r>
    <x v="1"/>
    <x v="1"/>
    <x v="4"/>
    <n v="686"/>
    <n v="60"/>
    <n v="41160"/>
    <n v="26280.66"/>
    <n v="1354.164"/>
    <n v="19551"/>
    <n v="11810"/>
    <n v="1564.08"/>
    <n v="34279.243999999999"/>
    <n v="14879.34"/>
    <n v="-19399.903999999999"/>
    <n v="0.36149999999999999"/>
    <n v="-0.47132905733722058"/>
    <n v="60"/>
    <n v="38.31"/>
    <n v="0.83282905733722057"/>
    <s v="Not Profitable"/>
  </r>
  <r>
    <x v="1"/>
    <x v="2"/>
    <x v="0"/>
    <n v="2377"/>
    <n v="149"/>
    <n v="354173"/>
    <n v="230460.37109999999"/>
    <n v="12431.472299999999"/>
    <n v="5937"/>
    <n v="6245"/>
    <n v="13989.833500000001"/>
    <n v="38603.305800000002"/>
    <n v="123712.62890000001"/>
    <n v="85109.323100000009"/>
    <n v="0.34930000000000005"/>
    <n v="0.24030437978050279"/>
    <n v="149"/>
    <n v="96.954299999999989"/>
    <n v="0.10899562021949726"/>
    <s v="Profitable"/>
  </r>
  <r>
    <x v="1"/>
    <x v="2"/>
    <x v="1"/>
    <n v="1116"/>
    <n v="42"/>
    <n v="46872"/>
    <n v="27176.385599999998"/>
    <n v="1617.0840000000001"/>
    <n v="12987"/>
    <n v="2884"/>
    <n v="1260.8568"/>
    <n v="18748.940800000004"/>
    <n v="19695.614400000002"/>
    <n v="946.67359999999826"/>
    <n v="0.42020000000000007"/>
    <n v="2.0196996074415392E-2"/>
    <n v="42"/>
    <n v="24.351599999999998"/>
    <n v="0.40000300392558463"/>
    <s v="Profitable"/>
  </r>
  <r>
    <x v="1"/>
    <x v="2"/>
    <x v="2"/>
    <n v="2676"/>
    <n v="102"/>
    <n v="272952"/>
    <n v="138632.32080000002"/>
    <n v="9498.7295999999988"/>
    <n v="6492"/>
    <n v="2818"/>
    <n v="8215.8552"/>
    <n v="27024.584799999997"/>
    <n v="134319.67919999998"/>
    <n v="107295.09439999999"/>
    <n v="0.49209999999999993"/>
    <n v="0.39309143878777214"/>
    <n v="102"/>
    <n v="51.805800000000005"/>
    <n v="9.9008561212227786E-2"/>
    <s v="Profitable"/>
  </r>
  <r>
    <x v="1"/>
    <x v="2"/>
    <x v="3"/>
    <n v="3323"/>
    <n v="483"/>
    <n v="1605009"/>
    <n v="1196052.7068"/>
    <n v="60669.340199999999"/>
    <n v="13653"/>
    <n v="4798"/>
    <n v="57619.823100000001"/>
    <n v="136740.16330000001"/>
    <n v="408956.29319999996"/>
    <n v="272216.12989999994"/>
    <n v="0.25479999999999997"/>
    <n v="0.16960411430714714"/>
    <n v="483"/>
    <n v="359.9316"/>
    <n v="8.5195885692852816E-2"/>
    <s v="Profitable"/>
  </r>
  <r>
    <x v="1"/>
    <x v="2"/>
    <x v="4"/>
    <n v="1136"/>
    <n v="72"/>
    <n v="81792"/>
    <n v="49549.5936"/>
    <n v="3238.9632000000001"/>
    <n v="12344"/>
    <n v="5358"/>
    <n v="4899.3407999999999"/>
    <n v="25840.303999999996"/>
    <n v="32242.4064"/>
    <n v="6402.1024000000034"/>
    <n v="0.39419999999999999"/>
    <n v="7.8272965571205055E-2"/>
    <n v="72"/>
    <n v="43.617600000000003"/>
    <n v="0.31592703442879494"/>
    <s v="Profitable"/>
  </r>
  <r>
    <x v="2"/>
    <x v="0"/>
    <x v="0"/>
    <n v="623"/>
    <n v="195"/>
    <n v="121485"/>
    <n v="86327.240999999995"/>
    <n v="14116.556999999999"/>
    <n v="7715"/>
    <n v="1766"/>
    <n v="3389.4315000000001"/>
    <n v="26986.988499999999"/>
    <n v="35157.759000000005"/>
    <n v="8170.770500000006"/>
    <n v="0.28940000000000005"/>
    <n v="6.7257443305757961E-2"/>
    <n v="195"/>
    <n v="138.56699999999998"/>
    <n v="0.22214255669424207"/>
    <s v="Profitable"/>
  </r>
  <r>
    <x v="2"/>
    <x v="0"/>
    <x v="1"/>
    <n v="980"/>
    <n v="43"/>
    <n v="42140"/>
    <n v="20496.896000000001"/>
    <n v="4028.5840000000003"/>
    <n v="7979"/>
    <n v="2975"/>
    <n v="1538.11"/>
    <n v="16520.694"/>
    <n v="21643.103999999999"/>
    <n v="5122.41"/>
    <n v="0.51359999999999995"/>
    <n v="0.12155695301376364"/>
    <n v="43"/>
    <n v="20.915200000000002"/>
    <n v="0.39204304698623632"/>
    <s v="Profitable"/>
  </r>
  <r>
    <x v="2"/>
    <x v="0"/>
    <x v="2"/>
    <n v="657"/>
    <n v="109"/>
    <n v="71613"/>
    <n v="42294.637800000004"/>
    <n v="7992.0108"/>
    <n v="9435"/>
    <n v="2398"/>
    <n v="2262.9708000000001"/>
    <n v="22087.981599999999"/>
    <n v="29318.362199999996"/>
    <n v="7230.3805999999968"/>
    <n v="0.40939999999999993"/>
    <n v="0.10096463770544449"/>
    <n v="109"/>
    <n v="64.375400000000013"/>
    <n v="0.30843536229455543"/>
    <s v="Profitable"/>
  </r>
  <r>
    <x v="2"/>
    <x v="0"/>
    <x v="3"/>
    <n v="1785"/>
    <n v="176"/>
    <n v="314160"/>
    <n v="207911.08800000002"/>
    <n v="20985.887999999999"/>
    <n v="6125"/>
    <n v="1984"/>
    <n v="7728.3360000000002"/>
    <n v="36823.224000000002"/>
    <n v="106248.91199999998"/>
    <n v="69425.68799999998"/>
    <n v="0.33819999999999995"/>
    <n v="0.22098831168831162"/>
    <n v="176"/>
    <n v="116.47680000000001"/>
    <n v="0.11721168831168832"/>
    <s v="Profitable"/>
  </r>
  <r>
    <x v="2"/>
    <x v="0"/>
    <x v="4"/>
    <n v="1248"/>
    <n v="88"/>
    <n v="109824"/>
    <n v="58733.875200000002"/>
    <n v="10389.350400000001"/>
    <n v="10034"/>
    <n v="1889"/>
    <n v="4986.0096000000003"/>
    <n v="27298.360000000004"/>
    <n v="51090.124799999998"/>
    <n v="23791.764799999994"/>
    <n v="0.4652"/>
    <n v="0.21663538752913747"/>
    <n v="88"/>
    <n v="47.062400000000004"/>
    <n v="0.24856461247086251"/>
    <s v="Profitable"/>
  </r>
  <r>
    <x v="2"/>
    <x v="1"/>
    <x v="0"/>
    <n v="829"/>
    <n v="153"/>
    <n v="126837"/>
    <n v="87847.306200000006"/>
    <n v="6075.4922999999999"/>
    <n v="18720"/>
    <n v="7222"/>
    <n v="3716.3240999999998"/>
    <n v="35733.816399999996"/>
    <n v="38989.693799999994"/>
    <n v="3255.8773999999976"/>
    <n v="0.30739999999999995"/>
    <n v="2.5669776169414269E-2"/>
    <n v="153"/>
    <n v="105.96780000000001"/>
    <n v="0.28173022383058566"/>
    <s v="Profitable"/>
  </r>
  <r>
    <x v="2"/>
    <x v="1"/>
    <x v="1"/>
    <n v="898"/>
    <n v="23"/>
    <n v="20654"/>
    <n v="10196.879800000001"/>
    <n v="1189.6704"/>
    <n v="9949"/>
    <n v="10176"/>
    <n v="817.89840000000004"/>
    <n v="22132.568800000001"/>
    <n v="10457.120199999999"/>
    <n v="-11675.448600000002"/>
    <n v="0.50629999999999997"/>
    <n v="-0.56528752783964376"/>
    <n v="23"/>
    <n v="11.3551"/>
    <n v="1.0715875278396436"/>
    <s v="Not Profitable"/>
  </r>
  <r>
    <x v="2"/>
    <x v="1"/>
    <x v="2"/>
    <n v="1361"/>
    <n v="66"/>
    <n v="89826"/>
    <n v="46161.581400000003"/>
    <n v="4635.0216"/>
    <n v="14131"/>
    <n v="8855"/>
    <n v="3512.1966000000002"/>
    <n v="31133.218199999999"/>
    <n v="43664.418599999997"/>
    <n v="12531.200399999998"/>
    <n v="0.48609999999999998"/>
    <n v="0.13950527018903211"/>
    <n v="66"/>
    <n v="33.917400000000001"/>
    <n v="0.34659472981096784"/>
    <s v="Profitable"/>
  </r>
  <r>
    <x v="2"/>
    <x v="1"/>
    <x v="3"/>
    <n v="455"/>
    <n v="189"/>
    <n v="85995"/>
    <n v="62931.141000000003"/>
    <n v="4273.9515000000001"/>
    <n v="13801"/>
    <n v="9659"/>
    <n v="3345.2055"/>
    <n v="31079.156999999999"/>
    <n v="23063.858999999997"/>
    <n v="-8015.2980000000025"/>
    <n v="0.26819999999999994"/>
    <n v="-9.3206558520844265E-2"/>
    <n v="189"/>
    <n v="138.31020000000001"/>
    <n v="0.36140655852084425"/>
    <s v="Not Profitable"/>
  </r>
  <r>
    <x v="2"/>
    <x v="1"/>
    <x v="4"/>
    <n v="1360"/>
    <n v="63"/>
    <n v="85680"/>
    <n v="57791.159999999996"/>
    <n v="3872.7359999999999"/>
    <n v="14914"/>
    <n v="9491"/>
    <n v="3084.48"/>
    <n v="31362.216"/>
    <n v="27888.840000000004"/>
    <n v="-3473.3759999999966"/>
    <n v="0.32550000000000007"/>
    <n v="-4.0538935574229655E-2"/>
    <n v="63"/>
    <n v="42.493499999999997"/>
    <n v="0.36603893557422967"/>
    <s v="Not Profitable"/>
  </r>
  <r>
    <x v="2"/>
    <x v="2"/>
    <x v="0"/>
    <n v="2241"/>
    <n v="92"/>
    <n v="206172"/>
    <n v="125764.92"/>
    <n v="5154.3"/>
    <n v="12378"/>
    <n v="3871"/>
    <n v="10349.8344"/>
    <n v="31753.134399999999"/>
    <n v="80407.08"/>
    <n v="48653.945600000006"/>
    <n v="0.39"/>
    <n v="0.23598716411539883"/>
    <n v="92"/>
    <n v="56.12"/>
    <n v="0.15401283588460121"/>
    <s v="Profitable"/>
  </r>
  <r>
    <x v="2"/>
    <x v="2"/>
    <x v="1"/>
    <n v="1285"/>
    <n v="38"/>
    <n v="48830"/>
    <n v="26485.392"/>
    <n v="1792.0610000000001"/>
    <n v="6240"/>
    <n v="6119"/>
    <n v="1694.4010000000001"/>
    <n v="15845.462"/>
    <n v="22344.608"/>
    <n v="6499.1460000000006"/>
    <n v="0.45760000000000001"/>
    <n v="0.13309739913987303"/>
    <n v="38"/>
    <n v="20.6112"/>
    <n v="0.32450260086012694"/>
    <s v="Profitable"/>
  </r>
  <r>
    <x v="2"/>
    <x v="2"/>
    <x v="2"/>
    <n v="1750"/>
    <n v="37"/>
    <n v="64750"/>
    <n v="33087.25"/>
    <n v="1806.5250000000001"/>
    <n v="11882"/>
    <n v="2520"/>
    <n v="3509.45"/>
    <n v="19717.974999999999"/>
    <n v="31662.75"/>
    <n v="11944.775000000001"/>
    <n v="0.48899999999999999"/>
    <n v="0.18447528957528961"/>
    <n v="37"/>
    <n v="18.907"/>
    <n v="0.30452471042471041"/>
    <s v="Profitable"/>
  </r>
  <r>
    <x v="2"/>
    <x v="2"/>
    <x v="3"/>
    <n v="1820"/>
    <n v="288"/>
    <n v="524160"/>
    <n v="358577.85600000003"/>
    <n v="16668.288"/>
    <n v="10732"/>
    <n v="3512"/>
    <n v="29981.952000000001"/>
    <n v="60894.240000000005"/>
    <n v="165582.14399999997"/>
    <n v="104687.90399999997"/>
    <n v="0.31589999999999996"/>
    <n v="0.19972509157509152"/>
    <n v="288"/>
    <n v="197.02080000000001"/>
    <n v="0.11617490842490844"/>
    <s v="Profitable"/>
  </r>
  <r>
    <x v="2"/>
    <x v="2"/>
    <x v="4"/>
    <n v="1465"/>
    <n v="44"/>
    <n v="64460"/>
    <n v="34473.208000000006"/>
    <n v="1598.6079999999999"/>
    <n v="13854"/>
    <n v="4208"/>
    <n v="2475.2640000000001"/>
    <n v="22135.871999999999"/>
    <n v="29986.791999999994"/>
    <n v="7850.9199999999946"/>
    <n v="0.46519999999999989"/>
    <n v="0.12179522184300333"/>
    <n v="44"/>
    <n v="23.531200000000005"/>
    <n v="0.3434047781569966"/>
    <s v="Profitable"/>
  </r>
  <r>
    <x v="3"/>
    <x v="0"/>
    <x v="0"/>
    <n v="1909"/>
    <n v="148"/>
    <n v="282532"/>
    <n v="187686.00760000001"/>
    <n v="33536.5484"/>
    <n v="6071"/>
    <n v="1296"/>
    <n v="16697.641199999998"/>
    <n v="57601.189599999998"/>
    <n v="94845.992399999988"/>
    <n v="37244.80279999999"/>
    <n v="0.33569999999999994"/>
    <n v="0.13182507751334357"/>
    <n v="148"/>
    <n v="98.316400000000002"/>
    <n v="0.20387492248665637"/>
    <s v="Profitable"/>
  </r>
  <r>
    <x v="3"/>
    <x v="0"/>
    <x v="1"/>
    <n v="926"/>
    <n v="40"/>
    <n v="37040"/>
    <n v="18979.295999999998"/>
    <n v="3452.1280000000002"/>
    <n v="6620"/>
    <n v="1622"/>
    <n v="851.92"/>
    <n v="12546.048000000001"/>
    <n v="18060.704000000002"/>
    <n v="5514.6560000000009"/>
    <n v="0.48760000000000003"/>
    <n v="0.14888380129589635"/>
    <n v="40"/>
    <n v="20.495999999999999"/>
    <n v="0.33871619870410369"/>
    <s v="Profitable"/>
  </r>
  <r>
    <x v="3"/>
    <x v="0"/>
    <x v="2"/>
    <n v="678"/>
    <n v="29"/>
    <n v="19662"/>
    <n v="12619.071600000001"/>
    <n v="2243.4341999999997"/>
    <n v="11363"/>
    <n v="1677"/>
    <n v="843.49980000000005"/>
    <n v="16126.933999999999"/>
    <n v="7042.9283999999989"/>
    <n v="-9084.0056000000004"/>
    <n v="0.35819999999999996"/>
    <n v="-0.46200821889939986"/>
    <n v="29"/>
    <n v="18.612200000000001"/>
    <n v="0.82020821889939988"/>
    <s v="Not Profitable"/>
  </r>
  <r>
    <x v="3"/>
    <x v="0"/>
    <x v="3"/>
    <n v="1719"/>
    <n v="422"/>
    <n v="725418"/>
    <n v="454982.16959999996"/>
    <n v="65287.619999999995"/>
    <n v="6335"/>
    <n v="1773"/>
    <n v="37213.943399999996"/>
    <n v="110609.56339999998"/>
    <n v="270435.83040000004"/>
    <n v="159826.26700000005"/>
    <n v="0.37280000000000008"/>
    <n v="0.22032299584515416"/>
    <n v="422"/>
    <n v="264.67839999999995"/>
    <n v="0.15247700415484589"/>
    <s v="Profitable"/>
  </r>
  <r>
    <x v="3"/>
    <x v="0"/>
    <x v="4"/>
    <n v="1983"/>
    <n v="80"/>
    <n v="158640"/>
    <n v="99372.09599999999"/>
    <n v="11136.528"/>
    <n v="11180"/>
    <n v="2196"/>
    <n v="6060.0479999999998"/>
    <n v="30572.575999999997"/>
    <n v="59267.90400000001"/>
    <n v="28695.328000000012"/>
    <n v="0.37360000000000004"/>
    <n v="0.18088330811901168"/>
    <n v="80"/>
    <n v="50.111999999999995"/>
    <n v="0.19271669188098839"/>
    <s v="Profitable"/>
  </r>
  <r>
    <x v="3"/>
    <x v="1"/>
    <x v="0"/>
    <n v="561"/>
    <n v="246"/>
    <n v="138006"/>
    <n v="98011.861200000014"/>
    <n v="9025.5923999999995"/>
    <n v="18728"/>
    <n v="10947"/>
    <n v="4002.174"/>
    <n v="42702.7664"/>
    <n v="39994.138799999986"/>
    <n v="-2708.6276000000144"/>
    <n v="0.28979999999999989"/>
    <n v="-1.9626882889149853E-2"/>
    <n v="246"/>
    <n v="174.70920000000004"/>
    <n v="0.30942688288914977"/>
    <s v="Not Profitable"/>
  </r>
  <r>
    <x v="3"/>
    <x v="1"/>
    <x v="1"/>
    <n v="1179"/>
    <n v="37"/>
    <n v="43623"/>
    <n v="20790.721799999999"/>
    <n v="2691.5391"/>
    <n v="11374"/>
    <n v="11413"/>
    <n v="1984.8465000000001"/>
    <n v="27463.385600000001"/>
    <n v="22832.278200000001"/>
    <n v="-4631.1074000000008"/>
    <n v="0.52339999999999998"/>
    <n v="-0.10616205671320177"/>
    <n v="37"/>
    <n v="17.6342"/>
    <n v="0.62956205671320176"/>
    <s v="Not Profitable"/>
  </r>
  <r>
    <x v="3"/>
    <x v="1"/>
    <x v="2"/>
    <n v="627"/>
    <n v="71"/>
    <n v="44517"/>
    <n v="24800.420700000002"/>
    <n v="1905.3275999999998"/>
    <n v="19052"/>
    <n v="13201"/>
    <n v="1989.9099000000001"/>
    <n v="36148.237500000003"/>
    <n v="19716.579299999998"/>
    <n v="-16431.658200000005"/>
    <n v="0.44289999999999996"/>
    <n v="-0.36910973785295514"/>
    <n v="71"/>
    <n v="39.554100000000005"/>
    <n v="0.81200973785295516"/>
    <s v="Not Profitable"/>
  </r>
  <r>
    <x v="3"/>
    <x v="1"/>
    <x v="3"/>
    <n v="1171"/>
    <n v="226"/>
    <n v="264646"/>
    <n v="171675.86020000002"/>
    <n v="18445.8262"/>
    <n v="8121"/>
    <n v="11173"/>
    <n v="15031.8928"/>
    <n v="52771.718999999997"/>
    <n v="92970.139799999975"/>
    <n v="40198.420799999978"/>
    <n v="0.35129999999999989"/>
    <n v="0.15189506283865986"/>
    <n v="226"/>
    <n v="146.60620000000003"/>
    <n v="0.19940493716134006"/>
    <s v="Profitable"/>
  </r>
  <r>
    <x v="3"/>
    <x v="1"/>
    <x v="4"/>
    <n v="482"/>
    <n v="38"/>
    <n v="18316"/>
    <n v="9194.6319999999996"/>
    <n v="1073.3176000000001"/>
    <n v="19046"/>
    <n v="9883"/>
    <n v="849.86239999999998"/>
    <n v="30852.18"/>
    <n v="9121.3680000000004"/>
    <n v="-21730.811999999998"/>
    <n v="0.498"/>
    <n v="-1.1864387420834241"/>
    <n v="38"/>
    <n v="19.076000000000001"/>
    <n v="1.6844387420834244"/>
    <s v="Not Profitable"/>
  </r>
  <r>
    <x v="3"/>
    <x v="2"/>
    <x v="0"/>
    <n v="2976"/>
    <n v="160"/>
    <n v="476160"/>
    <n v="281124.864"/>
    <n v="23665.152000000002"/>
    <n v="9450"/>
    <n v="2253"/>
    <n v="26379.263999999999"/>
    <n v="61747.415999999997"/>
    <n v="195035.136"/>
    <n v="133287.72"/>
    <n v="0.40960000000000002"/>
    <n v="0.27992212701612901"/>
    <n v="160"/>
    <n v="94.463999999999999"/>
    <n v="0.12967787298387096"/>
    <s v="Profitable"/>
  </r>
  <r>
    <x v="3"/>
    <x v="2"/>
    <x v="1"/>
    <n v="2282"/>
    <n v="54"/>
    <n v="123228"/>
    <n v="59383.573199999999"/>
    <n v="5816.3616000000002"/>
    <n v="12171"/>
    <n v="5649"/>
    <n v="2982.1176"/>
    <n v="26618.479200000002"/>
    <n v="63844.426800000001"/>
    <n v="37225.9476"/>
    <n v="0.5181"/>
    <n v="0.30209000876424191"/>
    <n v="54"/>
    <n v="26.022600000000001"/>
    <n v="0.21600999123575812"/>
    <s v="Profitable"/>
  </r>
  <r>
    <x v="3"/>
    <x v="2"/>
    <x v="2"/>
    <n v="2949"/>
    <n v="63"/>
    <n v="185787"/>
    <n v="107440.62210000001"/>
    <n v="6836.9615999999996"/>
    <n v="11973"/>
    <n v="2685"/>
    <n v="7412.9013000000004"/>
    <n v="28907.8629"/>
    <n v="78346.377899999992"/>
    <n v="49438.514999999992"/>
    <n v="0.42169999999999996"/>
    <n v="0.26610319882446021"/>
    <n v="63"/>
    <n v="36.432900000000004"/>
    <n v="0.15559680117553973"/>
    <s v="Profitable"/>
  </r>
  <r>
    <x v="3"/>
    <x v="2"/>
    <x v="3"/>
    <n v="1205"/>
    <n v="356"/>
    <n v="428980"/>
    <n v="294880.85200000001"/>
    <n v="8751.1920000000009"/>
    <n v="9710"/>
    <n v="4944"/>
    <n v="20676.835999999999"/>
    <n v="44082.028000000006"/>
    <n v="134099.14799999999"/>
    <n v="90017.119999999981"/>
    <n v="0.31259999999999999"/>
    <n v="0.20983989929600444"/>
    <n v="356"/>
    <n v="244.71440000000001"/>
    <n v="0.10276010070399554"/>
    <s v="Profitable"/>
  </r>
  <r>
    <x v="3"/>
    <x v="2"/>
    <x v="4"/>
    <n v="3421"/>
    <n v="62"/>
    <n v="212102"/>
    <n v="141047.83000000002"/>
    <n v="9417.3288000000011"/>
    <n v="13244"/>
    <n v="5995"/>
    <n v="5875.2254000000003"/>
    <n v="34531.554200000006"/>
    <n v="71054.169999999984"/>
    <n v="36522.615799999978"/>
    <n v="0.33499999999999991"/>
    <n v="0.17219364173840879"/>
    <n v="62"/>
    <n v="41.230000000000004"/>
    <n v="0.16280635826159115"/>
    <s v="Profitable"/>
  </r>
  <r>
    <x v="4"/>
    <x v="0"/>
    <x v="0"/>
    <n v="1521"/>
    <n v="223"/>
    <n v="339183"/>
    <n v="200389.31640000001"/>
    <n v="21605.957100000003"/>
    <n v="11053"/>
    <n v="3085"/>
    <n v="12515.852699999999"/>
    <n v="48259.809800000003"/>
    <n v="138793.68359999999"/>
    <n v="90533.873799999987"/>
    <n v="0.40919999999999995"/>
    <n v="0.26691748643062885"/>
    <n v="223"/>
    <n v="131.7484"/>
    <n v="0.14228251356937111"/>
    <s v="Profitable"/>
  </r>
  <r>
    <x v="4"/>
    <x v="0"/>
    <x v="1"/>
    <n v="703"/>
    <n v="58"/>
    <n v="40774"/>
    <n v="20048.575800000002"/>
    <n v="3176.2945999999997"/>
    <n v="6595"/>
    <n v="1578"/>
    <n v="2389.3564000000001"/>
    <n v="13738.651"/>
    <n v="20725.424199999998"/>
    <n v="6986.7731999999978"/>
    <n v="0.50829999999999997"/>
    <n v="0.17135363712169516"/>
    <n v="58"/>
    <n v="28.518600000000003"/>
    <n v="0.33694636287830482"/>
    <s v="Profitable"/>
  </r>
  <r>
    <x v="4"/>
    <x v="0"/>
    <x v="2"/>
    <n v="938"/>
    <n v="76"/>
    <n v="71288"/>
    <n v="44205.688799999996"/>
    <n v="6708.2008000000005"/>
    <n v="9942"/>
    <n v="2481"/>
    <n v="2473.6936000000001"/>
    <n v="21604.894399999997"/>
    <n v="27082.311200000004"/>
    <n v="5477.4168000000063"/>
    <n v="0.37990000000000007"/>
    <n v="7.6835046571653104E-2"/>
    <n v="76"/>
    <n v="47.127599999999994"/>
    <n v="0.30306495342834694"/>
    <s v="Profitable"/>
  </r>
  <r>
    <x v="4"/>
    <x v="0"/>
    <x v="3"/>
    <n v="1297"/>
    <n v="363"/>
    <n v="470811"/>
    <n v="294209.79389999999"/>
    <n v="33145.094400000002"/>
    <n v="11638"/>
    <n v="3137"/>
    <n v="18032.061300000001"/>
    <n v="65952.155700000003"/>
    <n v="176601.20610000001"/>
    <n v="110649.05040000001"/>
    <n v="0.37510000000000004"/>
    <n v="0.23501798046349812"/>
    <n v="363"/>
    <n v="226.83869999999999"/>
    <n v="0.14008201953650193"/>
    <s v="Profitable"/>
  </r>
  <r>
    <x v="4"/>
    <x v="0"/>
    <x v="4"/>
    <n v="1009"/>
    <n v="42"/>
    <n v="42378"/>
    <n v="28215.272399999998"/>
    <n v="5017.5551999999998"/>
    <n v="4205"/>
    <n v="3930"/>
    <n v="2135.8512000000001"/>
    <n v="15288.4064"/>
    <n v="14162.727600000002"/>
    <n v="-1125.6787999999979"/>
    <n v="0.33420000000000005"/>
    <n v="-2.6562810892444142E-2"/>
    <n v="42"/>
    <n v="27.9636"/>
    <n v="0.36076281089244416"/>
    <s v="Not Profitable"/>
  </r>
  <r>
    <x v="4"/>
    <x v="1"/>
    <x v="0"/>
    <n v="688"/>
    <n v="172"/>
    <n v="118336"/>
    <n v="72871.308799999999"/>
    <n v="4532.2687999999998"/>
    <n v="8219"/>
    <n v="13727"/>
    <n v="3124.0704000000001"/>
    <n v="29602.339199999999"/>
    <n v="45464.691200000001"/>
    <n v="15862.352000000003"/>
    <n v="0.38419999999999999"/>
    <n v="0.13404502433747975"/>
    <n v="172"/>
    <n v="105.91759999999999"/>
    <n v="0.25015497566252026"/>
    <s v="Profitable"/>
  </r>
  <r>
    <x v="4"/>
    <x v="1"/>
    <x v="1"/>
    <n v="1237"/>
    <n v="73"/>
    <n v="90301"/>
    <n v="42676.2526"/>
    <n v="3557.8593999999998"/>
    <n v="10435"/>
    <n v="7507"/>
    <n v="3467.5583999999999"/>
    <n v="24967.417800000003"/>
    <n v="47624.7474"/>
    <n v="22657.329599999997"/>
    <n v="0.52739999999999998"/>
    <n v="0.25090895560403537"/>
    <n v="73"/>
    <n v="34.4998"/>
    <n v="0.27649104439596461"/>
    <s v="Profitable"/>
  </r>
  <r>
    <x v="4"/>
    <x v="1"/>
    <x v="2"/>
    <n v="389"/>
    <n v="63"/>
    <n v="24507"/>
    <n v="12777.949799999999"/>
    <n v="963.12510000000009"/>
    <n v="8302"/>
    <n v="7192"/>
    <n v="879.80129999999997"/>
    <n v="17336.926399999997"/>
    <n v="11729.050200000001"/>
    <n v="-5607.8761999999952"/>
    <n v="0.47860000000000008"/>
    <n v="-0.22882752682906904"/>
    <n v="63"/>
    <n v="32.848199999999999"/>
    <n v="0.70742752682906906"/>
    <s v="Not Profitable"/>
  </r>
  <r>
    <x v="4"/>
    <x v="1"/>
    <x v="3"/>
    <n v="941"/>
    <n v="586"/>
    <n v="551426"/>
    <n v="356221.196"/>
    <n v="20843.9028"/>
    <n v="12677"/>
    <n v="10339"/>
    <n v="12076.2294"/>
    <n v="55936.132199999993"/>
    <n v="195204.804"/>
    <n v="139268.67180000001"/>
    <n v="0.35399999999999998"/>
    <n v="0.25256094525829398"/>
    <n v="586"/>
    <n v="378.55599999999998"/>
    <n v="0.10143905474170603"/>
    <s v="Profitable"/>
  </r>
  <r>
    <x v="4"/>
    <x v="1"/>
    <x v="4"/>
    <n v="879"/>
    <n v="62"/>
    <n v="54498"/>
    <n v="33875.9568"/>
    <n v="2343.4139999999998"/>
    <n v="19713"/>
    <n v="11320"/>
    <n v="3149.9843999999998"/>
    <n v="36526.398400000005"/>
    <n v="20622.0432"/>
    <n v="-15904.355200000005"/>
    <n v="0.37840000000000001"/>
    <n v="-0.29183374068773177"/>
    <n v="62"/>
    <n v="38.539200000000001"/>
    <n v="0.67023374068773178"/>
    <s v="Not Profitable"/>
  </r>
  <r>
    <x v="4"/>
    <x v="2"/>
    <x v="0"/>
    <n v="2936"/>
    <n v="227"/>
    <n v="666472"/>
    <n v="443803.70480000001"/>
    <n v="15195.561600000001"/>
    <n v="13331"/>
    <n v="4578"/>
    <n v="39788.378400000001"/>
    <n v="72892.94"/>
    <n v="222668.29519999999"/>
    <n v="149775.35519999999"/>
    <n v="0.33410000000000001"/>
    <n v="0.22472865356684149"/>
    <n v="227"/>
    <n v="151.1593"/>
    <n v="0.10937134643315849"/>
    <s v="Profitable"/>
  </r>
  <r>
    <x v="4"/>
    <x v="2"/>
    <x v="1"/>
    <n v="1994"/>
    <n v="29"/>
    <n v="57826"/>
    <n v="31838.995599999998"/>
    <n v="2498.0832"/>
    <n v="11949"/>
    <n v="5363"/>
    <n v="2047.0404000000001"/>
    <n v="21857.123600000003"/>
    <n v="25987.004400000002"/>
    <n v="4129.880799999999"/>
    <n v="0.44940000000000002"/>
    <n v="7.1419098675336343E-2"/>
    <n v="29"/>
    <n v="15.9674"/>
    <n v="0.37798090132466367"/>
    <s v="Profitable"/>
  </r>
  <r>
    <x v="4"/>
    <x v="2"/>
    <x v="2"/>
    <n v="1632"/>
    <n v="55"/>
    <n v="89760"/>
    <n v="58137.552000000003"/>
    <n v="2513.2800000000002"/>
    <n v="12511"/>
    <n v="4903"/>
    <n v="4604.6880000000001"/>
    <n v="24531.968000000001"/>
    <n v="31622.447999999997"/>
    <n v="7090.4799999999959"/>
    <n v="0.35229999999999995"/>
    <n v="7.8993761140819921E-2"/>
    <n v="55"/>
    <n v="35.6235"/>
    <n v="0.27330623885918004"/>
    <s v="Profitable"/>
  </r>
  <r>
    <x v="4"/>
    <x v="2"/>
    <x v="3"/>
    <n v="3045"/>
    <n v="458"/>
    <n v="1394610"/>
    <n v="919047.99"/>
    <n v="59689.307999999997"/>
    <n v="7188"/>
    <n v="6695"/>
    <n v="52018.953000000001"/>
    <n v="125591.261"/>
    <n v="475562.01"/>
    <n v="349970.74900000001"/>
    <n v="0.34100000000000003"/>
    <n v="0.25094524562422471"/>
    <n v="458"/>
    <n v="301.822"/>
    <n v="9.0054754375775301E-2"/>
    <s v="Profitable"/>
  </r>
  <r>
    <x v="4"/>
    <x v="2"/>
    <x v="4"/>
    <n v="2190"/>
    <n v="48"/>
    <n v="105120"/>
    <n v="60391.44"/>
    <n v="4888.08"/>
    <n v="12913"/>
    <n v="6750"/>
    <n v="4110.192"/>
    <n v="28661.272000000001"/>
    <n v="44728.56"/>
    <n v="16067.287999999997"/>
    <n v="0.42549999999999999"/>
    <n v="0.15284710806697105"/>
    <n v="48"/>
    <n v="27.576000000000001"/>
    <n v="0.27265289193302894"/>
    <s v="Profitable"/>
  </r>
  <r>
    <x v="5"/>
    <x v="0"/>
    <x v="0"/>
    <n v="1333"/>
    <n v="92"/>
    <n v="122636"/>
    <n v="77751.224000000002"/>
    <n v="13772.022799999999"/>
    <n v="11665"/>
    <n v="3205"/>
    <n v="6683.6620000000003"/>
    <n v="35325.684800000003"/>
    <n v="44884.775999999998"/>
    <n v="9559.0911999999953"/>
    <n v="0.36599999999999999"/>
    <n v="7.7946860628200484E-2"/>
    <n v="92"/>
    <n v="58.328000000000003"/>
    <n v="0.28805313937179949"/>
    <s v="Profitable"/>
  </r>
  <r>
    <x v="5"/>
    <x v="0"/>
    <x v="1"/>
    <n v="1266"/>
    <n v="40"/>
    <n v="50640"/>
    <n v="28201.415999999997"/>
    <n v="4344.9120000000003"/>
    <n v="10865"/>
    <n v="1727"/>
    <n v="1245.7439999999999"/>
    <n v="18182.655999999999"/>
    <n v="22438.584000000003"/>
    <n v="4255.9280000000035"/>
    <n v="0.44310000000000005"/>
    <n v="8.404281200631919E-2"/>
    <n v="40"/>
    <n v="22.275999999999996"/>
    <n v="0.35905718799368086"/>
    <s v="Profitable"/>
  </r>
  <r>
    <x v="5"/>
    <x v="0"/>
    <x v="2"/>
    <n v="1337"/>
    <n v="31"/>
    <n v="41447"/>
    <n v="23297.358700000001"/>
    <n v="4625.4852000000001"/>
    <n v="5456"/>
    <n v="2368"/>
    <n v="2478.5306"/>
    <n v="14928.015799999999"/>
    <n v="18149.641299999999"/>
    <n v="3221.6255000000001"/>
    <n v="0.43789999999999996"/>
    <n v="7.7728798224238185E-2"/>
    <n v="31"/>
    <n v="17.4251"/>
    <n v="0.36017120177576178"/>
    <s v="Profitable"/>
  </r>
  <r>
    <x v="5"/>
    <x v="0"/>
    <x v="3"/>
    <n v="1668"/>
    <n v="197"/>
    <n v="328596"/>
    <n v="236917.71599999999"/>
    <n v="38281.434000000001"/>
    <n v="10763"/>
    <n v="3580"/>
    <n v="12946.6824"/>
    <n v="65571.116399999999"/>
    <n v="91678.284000000014"/>
    <n v="26107.167600000015"/>
    <n v="0.27900000000000003"/>
    <n v="7.945065551619622E-2"/>
    <n v="197"/>
    <n v="142.03699999999998"/>
    <n v="0.19954934448380382"/>
    <s v="Profitable"/>
  </r>
  <r>
    <x v="5"/>
    <x v="0"/>
    <x v="4"/>
    <n v="1700"/>
    <n v="42"/>
    <n v="71400"/>
    <n v="37849.14"/>
    <n v="8253.84"/>
    <n v="8618"/>
    <n v="3015"/>
    <n v="2149.14"/>
    <n v="22035.98"/>
    <n v="33550.86"/>
    <n v="11514.880000000001"/>
    <n v="0.46989999999999998"/>
    <n v="0.16127282913165267"/>
    <n v="42"/>
    <n v="22.264199999999999"/>
    <n v="0.30862717086834734"/>
    <s v="Profitable"/>
  </r>
  <r>
    <x v="5"/>
    <x v="1"/>
    <x v="0"/>
    <n v="1221"/>
    <n v="108"/>
    <n v="131868"/>
    <n v="92202.10560000001"/>
    <n v="7819.7723999999998"/>
    <n v="9325"/>
    <n v="9311"/>
    <n v="6751.6415999999999"/>
    <n v="33207.414000000004"/>
    <n v="39665.89439999999"/>
    <n v="6458.4803999999858"/>
    <n v="0.3007999999999999"/>
    <n v="4.8976858676858567E-2"/>
    <n v="108"/>
    <n v="75.513600000000011"/>
    <n v="0.25182314132314138"/>
    <s v="Profitable"/>
  </r>
  <r>
    <x v="5"/>
    <x v="1"/>
    <x v="1"/>
    <n v="411"/>
    <n v="75"/>
    <n v="30825"/>
    <n v="17249.669999999998"/>
    <n v="1852.5825"/>
    <n v="11400"/>
    <n v="15146"/>
    <n v="1473.4349999999999"/>
    <n v="29872.017500000002"/>
    <n v="13575.330000000002"/>
    <n v="-16296.6875"/>
    <n v="0.44040000000000007"/>
    <n v="-0.52868410381184106"/>
    <n v="75"/>
    <n v="41.97"/>
    <n v="0.96908410381184107"/>
    <s v="Not Profitable"/>
  </r>
  <r>
    <x v="5"/>
    <x v="1"/>
    <x v="2"/>
    <n v="1046"/>
    <n v="30"/>
    <n v="31380"/>
    <n v="19138.662"/>
    <n v="1584.69"/>
    <n v="17067"/>
    <n v="9234"/>
    <n v="1032.402"/>
    <n v="28918.091999999997"/>
    <n v="12241.338"/>
    <n v="-16676.753999999997"/>
    <n v="0.3901"/>
    <n v="-0.53144531548757157"/>
    <n v="30"/>
    <n v="18.297000000000001"/>
    <n v="0.92154531548757157"/>
    <s v="Not Profitable"/>
  </r>
  <r>
    <x v="5"/>
    <x v="1"/>
    <x v="3"/>
    <n v="870"/>
    <n v="174"/>
    <n v="151380"/>
    <n v="94385.430000000008"/>
    <n v="7569"/>
    <n v="19868"/>
    <n v="14799"/>
    <n v="7886.8980000000001"/>
    <n v="50122.898000000001"/>
    <n v="56994.569999999992"/>
    <n v="6871.6719999999914"/>
    <n v="0.37649999999999995"/>
    <n v="4.5393526225392992E-2"/>
    <n v="174"/>
    <n v="108.489"/>
    <n v="0.33110647377460695"/>
    <s v="Profitable"/>
  </r>
  <r>
    <x v="5"/>
    <x v="1"/>
    <x v="4"/>
    <n v="840"/>
    <n v="59"/>
    <n v="49560"/>
    <n v="29061.984"/>
    <n v="2408.616"/>
    <n v="19405"/>
    <n v="13425"/>
    <n v="1516.5360000000001"/>
    <n v="36755.152000000002"/>
    <n v="20498.016"/>
    <n v="-16257.136000000002"/>
    <n v="0.41359999999999997"/>
    <n v="-0.3280293785310735"/>
    <n v="59"/>
    <n v="34.5976"/>
    <n v="0.74162937853107347"/>
    <s v="Not Profitable"/>
  </r>
  <r>
    <x v="5"/>
    <x v="2"/>
    <x v="0"/>
    <n v="1811"/>
    <n v="195"/>
    <n v="353145"/>
    <n v="228802.64550000001"/>
    <n v="13666.711499999999"/>
    <n v="8589"/>
    <n v="3258"/>
    <n v="13278.252"/>
    <n v="38791.963499999998"/>
    <n v="124342.35449999999"/>
    <n v="85550.390999999989"/>
    <n v="0.35209999999999997"/>
    <n v="0.24225287346557359"/>
    <n v="195"/>
    <n v="126.34050000000001"/>
    <n v="0.10984712653442637"/>
    <s v="Profitable"/>
  </r>
  <r>
    <x v="5"/>
    <x v="2"/>
    <x v="1"/>
    <n v="2426"/>
    <n v="36"/>
    <n v="87336"/>
    <n v="48270.607199999999"/>
    <n v="3021.8256000000001"/>
    <n v="13551"/>
    <n v="4851"/>
    <n v="1746.72"/>
    <n v="23170.545600000001"/>
    <n v="39065.392800000001"/>
    <n v="15894.8472"/>
    <n v="0.44730000000000003"/>
    <n v="0.1819965100302281"/>
    <n v="36"/>
    <n v="19.897199999999998"/>
    <n v="0.26530348996977193"/>
    <s v="Profitable"/>
  </r>
  <r>
    <x v="5"/>
    <x v="2"/>
    <x v="2"/>
    <n v="1364"/>
    <n v="47"/>
    <n v="64108"/>
    <n v="37458.304400000001"/>
    <n v="2993.8435999999997"/>
    <n v="5676"/>
    <n v="6463"/>
    <n v="2807.9304000000002"/>
    <n v="17940.774000000001"/>
    <n v="26649.695599999999"/>
    <n v="8708.9215999999979"/>
    <n v="0.41569999999999996"/>
    <n v="0.13584765707867968"/>
    <n v="47"/>
    <n v="27.4621"/>
    <n v="0.27985234292132027"/>
    <s v="Profitable"/>
  </r>
  <r>
    <x v="5"/>
    <x v="2"/>
    <x v="3"/>
    <n v="2892"/>
    <n v="182"/>
    <n v="526344"/>
    <n v="334175.80560000002"/>
    <n v="23001.232800000002"/>
    <n v="13191"/>
    <n v="4502"/>
    <n v="29896.339199999999"/>
    <n v="70590.572"/>
    <n v="192168.19439999998"/>
    <n v="121577.62239999998"/>
    <n v="0.36509999999999998"/>
    <n v="0.2309851017585457"/>
    <n v="182"/>
    <n v="115.55180000000001"/>
    <n v="0.13411489824145426"/>
    <s v="Profitable"/>
  </r>
  <r>
    <x v="5"/>
    <x v="2"/>
    <x v="4"/>
    <n v="3307"/>
    <n v="84"/>
    <n v="277788"/>
    <n v="178839.91440000001"/>
    <n v="11250.414000000001"/>
    <n v="7925"/>
    <n v="6362"/>
    <n v="13306.0452"/>
    <n v="38843.459199999998"/>
    <n v="98948.085599999991"/>
    <n v="60104.626399999994"/>
    <n v="0.35619999999999996"/>
    <n v="0.21636869267210965"/>
    <n v="84"/>
    <n v="54.0792"/>
    <n v="0.13983130732789031"/>
    <s v="Profitable"/>
  </r>
  <r>
    <x v="6"/>
    <x v="0"/>
    <x v="0"/>
    <n v="1490"/>
    <n v="85"/>
    <n v="126650"/>
    <n v="89085.61"/>
    <n v="13880.84"/>
    <n v="6846"/>
    <n v="2560"/>
    <n v="2748.3049999999998"/>
    <n v="26035.145"/>
    <n v="37564.39"/>
    <n v="11529.244999999999"/>
    <n v="0.29659999999999997"/>
    <n v="9.1032333201737065E-2"/>
    <n v="85"/>
    <n v="59.789000000000001"/>
    <n v="0.20556766679826294"/>
    <s v="Profitable"/>
  </r>
  <r>
    <x v="6"/>
    <x v="0"/>
    <x v="1"/>
    <n v="1100"/>
    <n v="42"/>
    <n v="46200"/>
    <n v="25118.94"/>
    <n v="3908.5199999999995"/>
    <n v="11442"/>
    <n v="1249"/>
    <n v="2346.96"/>
    <n v="18946.48"/>
    <n v="21081.06"/>
    <n v="2134.5800000000017"/>
    <n v="0.45630000000000004"/>
    <n v="4.6203030303030343E-2"/>
    <n v="42"/>
    <n v="22.8354"/>
    <n v="0.41009696969696968"/>
    <s v="Profitable"/>
  </r>
  <r>
    <x v="6"/>
    <x v="0"/>
    <x v="2"/>
    <n v="1960"/>
    <n v="114"/>
    <n v="223440"/>
    <n v="136320.74400000001"/>
    <n v="21204.455999999998"/>
    <n v="7150"/>
    <n v="3149"/>
    <n v="6345.6959999999999"/>
    <n v="37849.152000000002"/>
    <n v="87119.255999999994"/>
    <n v="49270.103999999992"/>
    <n v="0.38989999999999997"/>
    <n v="0.22050708915145001"/>
    <n v="114"/>
    <n v="69.551400000000001"/>
    <n v="0.16939291084854996"/>
    <s v="Profitable"/>
  </r>
  <r>
    <x v="6"/>
    <x v="0"/>
    <x v="3"/>
    <n v="2111"/>
    <n v="301"/>
    <n v="635411"/>
    <n v="463087.5368"/>
    <n v="58521.3531"/>
    <n v="7883"/>
    <n v="1658"/>
    <n v="25035.1934"/>
    <n v="93097.546500000011"/>
    <n v="172323.4632"/>
    <n v="79225.916699999987"/>
    <n v="0.2712"/>
    <n v="0.12468452182917826"/>
    <n v="301"/>
    <n v="219.36879999999999"/>
    <n v="0.14651547817082175"/>
    <s v="Profitable"/>
  </r>
  <r>
    <x v="6"/>
    <x v="0"/>
    <x v="4"/>
    <n v="601"/>
    <n v="35"/>
    <n v="21035"/>
    <n v="14213.349499999998"/>
    <n v="1533.4515000000001"/>
    <n v="10644"/>
    <n v="3747"/>
    <n v="978.12750000000005"/>
    <n v="16902.578999999998"/>
    <n v="6821.6505000000016"/>
    <n v="-10080.928499999996"/>
    <n v="0.32430000000000009"/>
    <n v="-0.4792454718326597"/>
    <n v="35"/>
    <n v="23.649499999999996"/>
    <n v="0.80354547183265979"/>
    <s v="Not Profitable"/>
  </r>
  <r>
    <x v="6"/>
    <x v="1"/>
    <x v="0"/>
    <n v="856"/>
    <n v="205"/>
    <n v="175480"/>
    <n v="110306.728"/>
    <n v="9124.9599999999991"/>
    <n v="17382"/>
    <n v="11247"/>
    <n v="9861.9760000000006"/>
    <n v="47615.936000000002"/>
    <n v="65173.271999999997"/>
    <n v="17557.335999999996"/>
    <n v="0.37140000000000001"/>
    <n v="0.10005320264417596"/>
    <n v="205"/>
    <n v="128.863"/>
    <n v="0.27134679735582401"/>
    <s v="Profitable"/>
  </r>
  <r>
    <x v="6"/>
    <x v="1"/>
    <x v="1"/>
    <n v="985"/>
    <n v="30"/>
    <n v="29550"/>
    <n v="14231.279999999999"/>
    <n v="1669.575"/>
    <n v="13203"/>
    <n v="8856"/>
    <n v="1075.6199999999999"/>
    <n v="24804.195"/>
    <n v="15318.720000000001"/>
    <n v="-9485.4749999999985"/>
    <n v="0.51840000000000008"/>
    <n v="-0.32099746192893397"/>
    <n v="30"/>
    <n v="14.447999999999999"/>
    <n v="0.83939746192893405"/>
    <s v="Not Profitable"/>
  </r>
  <r>
    <x v="6"/>
    <x v="1"/>
    <x v="2"/>
    <n v="991"/>
    <n v="118"/>
    <n v="116938"/>
    <n v="74360.874200000006"/>
    <n v="4888.0083999999997"/>
    <n v="16768"/>
    <n v="14128"/>
    <n v="4069.4423999999999"/>
    <n v="39853.450799999999"/>
    <n v="42577.125799999994"/>
    <n v="2723.6749999999956"/>
    <n v="0.36409999999999998"/>
    <n v="2.3291616070054179E-2"/>
    <n v="118"/>
    <n v="75.036200000000008"/>
    <n v="0.34080838392994578"/>
    <s v="Profitable"/>
  </r>
  <r>
    <x v="6"/>
    <x v="1"/>
    <x v="3"/>
    <n v="1074"/>
    <n v="543"/>
    <n v="583182"/>
    <n v="443160.00180000003"/>
    <n v="38431.693800000001"/>
    <n v="17973"/>
    <n v="9597"/>
    <n v="33591.283199999998"/>
    <n v="99592.977000000014"/>
    <n v="140021.99819999997"/>
    <n v="40429.021199999959"/>
    <n v="0.24009999999999995"/>
    <n v="6.9324878339866391E-2"/>
    <n v="543"/>
    <n v="412.62570000000005"/>
    <n v="0.17077512166013356"/>
    <s v="Profitable"/>
  </r>
  <r>
    <x v="6"/>
    <x v="1"/>
    <x v="4"/>
    <n v="1124"/>
    <n v="47"/>
    <n v="52828"/>
    <n v="25933.265200000002"/>
    <n v="2340.2804000000001"/>
    <n v="11786"/>
    <n v="12036"/>
    <n v="2313.8663999999999"/>
    <n v="28476.146799999999"/>
    <n v="26894.734799999998"/>
    <n v="-1581.4120000000003"/>
    <n v="0.5091"/>
    <n v="-2.9935110168849859E-2"/>
    <n v="47"/>
    <n v="23.072300000000002"/>
    <n v="0.53903511016884986"/>
    <s v="Not Profitable"/>
  </r>
  <r>
    <x v="6"/>
    <x v="2"/>
    <x v="0"/>
    <n v="1110"/>
    <n v="235"/>
    <n v="260850"/>
    <n v="175604.22"/>
    <n v="5660.4449999999997"/>
    <n v="10504"/>
    <n v="2734"/>
    <n v="5556.1049999999996"/>
    <n v="24454.55"/>
    <n v="85245.78"/>
    <n v="60791.229999999996"/>
    <n v="0.32679999999999998"/>
    <n v="0.23305052712286753"/>
    <n v="235"/>
    <n v="158.202"/>
    <n v="9.374947287713245E-2"/>
    <s v="Profitable"/>
  </r>
  <r>
    <x v="6"/>
    <x v="2"/>
    <x v="1"/>
    <n v="3183"/>
    <n v="22"/>
    <n v="70026"/>
    <n v="36112.408200000005"/>
    <n v="2731.0140000000001"/>
    <n v="5293"/>
    <n v="3355"/>
    <n v="3284.2194"/>
    <n v="14663.233399999999"/>
    <n v="33913.591799999995"/>
    <n v="19250.358399999997"/>
    <n v="0.4842999999999999"/>
    <n v="0.27490301316653809"/>
    <n v="22"/>
    <n v="11.345400000000001"/>
    <n v="0.20939698683346183"/>
    <s v="Profitable"/>
  </r>
  <r>
    <x v="6"/>
    <x v="2"/>
    <x v="2"/>
    <n v="2123"/>
    <n v="25"/>
    <n v="53075"/>
    <n v="29196.557500000003"/>
    <n v="1210.1100000000001"/>
    <n v="8532"/>
    <n v="3810"/>
    <n v="2473.2950000000001"/>
    <n v="16025.405000000001"/>
    <n v="23878.442499999997"/>
    <n v="7853.0374999999967"/>
    <n v="0.44989999999999997"/>
    <n v="0.147961139896373"/>
    <n v="25"/>
    <n v="13.752500000000001"/>
    <n v="0.30193886010362697"/>
    <s v="Profitable"/>
  </r>
  <r>
    <x v="6"/>
    <x v="2"/>
    <x v="3"/>
    <n v="2480"/>
    <n v="450"/>
    <n v="1116000"/>
    <n v="783878.4"/>
    <n v="50666.400000000001"/>
    <n v="12789"/>
    <n v="4164"/>
    <n v="26226"/>
    <n v="93845.4"/>
    <n v="332121.59999999998"/>
    <n v="238276.19999999998"/>
    <n v="0.29759999999999998"/>
    <n v="0.21350913978494623"/>
    <n v="450"/>
    <n v="316.08"/>
    <n v="8.4090860215053756E-2"/>
    <s v="Profitable"/>
  </r>
  <r>
    <x v="6"/>
    <x v="2"/>
    <x v="4"/>
    <n v="2896"/>
    <n v="25"/>
    <n v="72400"/>
    <n v="47356.840000000004"/>
    <n v="2367.48"/>
    <n v="11192"/>
    <n v="2011"/>
    <n v="4322.28"/>
    <n v="19892.759999999998"/>
    <n v="25043.159999999996"/>
    <n v="5150.3999999999978"/>
    <n v="0.34589999999999993"/>
    <n v="7.1138121546961294E-2"/>
    <n v="25"/>
    <n v="16.352500000000003"/>
    <n v="0.27476187845303868"/>
    <s v="Profitable"/>
  </r>
  <r>
    <x v="7"/>
    <x v="0"/>
    <x v="0"/>
    <n v="1769"/>
    <n v="247"/>
    <n v="436943"/>
    <n v="257971.14720000001"/>
    <n v="29799.512599999998"/>
    <n v="4158"/>
    <n v="3629"/>
    <n v="23551.227699999999"/>
    <n v="61137.740300000005"/>
    <n v="178971.85279999999"/>
    <n v="117834.11249999999"/>
    <n v="0.40959999999999996"/>
    <n v="0.26967845348249081"/>
    <n v="247"/>
    <n v="145.8288"/>
    <n v="0.13992154651750915"/>
    <s v="Profitable"/>
  </r>
  <r>
    <x v="7"/>
    <x v="0"/>
    <x v="1"/>
    <n v="1902"/>
    <n v="23"/>
    <n v="43746"/>
    <n v="20875.591199999999"/>
    <n v="3022.8485999999998"/>
    <n v="9094"/>
    <n v="3528"/>
    <n v="2336.0364"/>
    <n v="17980.884999999998"/>
    <n v="22870.408800000001"/>
    <n v="4889.5238000000027"/>
    <n v="0.52280000000000004"/>
    <n v="0.11177076304119239"/>
    <n v="23"/>
    <n v="10.9756"/>
    <n v="0.41102923695880761"/>
    <s v="Profitable"/>
  </r>
  <r>
    <x v="7"/>
    <x v="0"/>
    <x v="2"/>
    <n v="1631"/>
    <n v="113"/>
    <n v="184303"/>
    <n v="114876.05989999999"/>
    <n v="18596.172699999999"/>
    <n v="8867"/>
    <n v="2059"/>
    <n v="7630.1441999999997"/>
    <n v="37152.316899999998"/>
    <n v="69426.940100000007"/>
    <n v="32274.623200000009"/>
    <n v="0.37670000000000003"/>
    <n v="0.17511718854278013"/>
    <n v="113"/>
    <n v="70.432899999999989"/>
    <n v="0.2015828114572199"/>
    <s v="Profitable"/>
  </r>
  <r>
    <x v="7"/>
    <x v="0"/>
    <x v="3"/>
    <n v="1351"/>
    <n v="289"/>
    <n v="390439"/>
    <n v="259876.19839999999"/>
    <n v="32757.8321"/>
    <n v="6377"/>
    <n v="3873"/>
    <n v="22918.7693"/>
    <n v="65926.6014"/>
    <n v="130562.80160000001"/>
    <n v="64636.200200000007"/>
    <n v="0.33440000000000003"/>
    <n v="0.16554749960941403"/>
    <n v="289"/>
    <n v="192.35839999999999"/>
    <n v="0.16885250039058597"/>
    <s v="Profitable"/>
  </r>
  <r>
    <x v="7"/>
    <x v="0"/>
    <x v="4"/>
    <n v="1683"/>
    <n v="31"/>
    <n v="52173"/>
    <n v="34298.530200000001"/>
    <n v="4528.6163999999999"/>
    <n v="8321"/>
    <n v="2535"/>
    <n v="1820.8377"/>
    <n v="17205.454099999999"/>
    <n v="17874.469799999999"/>
    <n v="669.01569999999992"/>
    <n v="0.34259999999999996"/>
    <n v="1.2823025319609759E-2"/>
    <n v="31"/>
    <n v="20.3794"/>
    <n v="0.32977697468039024"/>
    <s v="Profitable"/>
  </r>
  <r>
    <x v="7"/>
    <x v="1"/>
    <x v="0"/>
    <n v="764"/>
    <n v="123"/>
    <n v="93972"/>
    <n v="60132.682800000002"/>
    <n v="2903.7348000000002"/>
    <n v="17343"/>
    <n v="9822"/>
    <n v="2612.4216000000001"/>
    <n v="32681.1564"/>
    <n v="33839.317199999998"/>
    <n v="1158.1607999999978"/>
    <n v="0.36009999999999998"/>
    <n v="1.2324530711275676E-2"/>
    <n v="123"/>
    <n v="78.707700000000003"/>
    <n v="0.34777546928872433"/>
    <s v="Profitable"/>
  </r>
  <r>
    <x v="7"/>
    <x v="1"/>
    <x v="1"/>
    <n v="1205"/>
    <n v="71"/>
    <n v="85555"/>
    <n v="43992.381000000001"/>
    <n v="5749.2959999999994"/>
    <n v="17305"/>
    <n v="13198"/>
    <n v="5116.1890000000003"/>
    <n v="41368.485000000001"/>
    <n v="41562.618999999999"/>
    <n v="194.1339999999982"/>
    <n v="0.48580000000000001"/>
    <n v="2.26911343580151E-3"/>
    <n v="71"/>
    <n v="36.508200000000002"/>
    <n v="0.48353088656419846"/>
    <s v="Profitable"/>
  </r>
  <r>
    <x v="7"/>
    <x v="1"/>
    <x v="2"/>
    <n v="1028"/>
    <n v="33"/>
    <n v="33924"/>
    <n v="18980.477999999999"/>
    <n v="1316.2511999999999"/>
    <n v="17190"/>
    <n v="6202"/>
    <n v="1546.9344000000001"/>
    <n v="26255.185599999997"/>
    <n v="14943.522000000001"/>
    <n v="-11311.663599999996"/>
    <n v="0.4405"/>
    <n v="-0.33344132767362328"/>
    <n v="33"/>
    <n v="18.4635"/>
    <n v="0.77394132767362334"/>
    <s v="Not Profitable"/>
  </r>
  <r>
    <x v="7"/>
    <x v="1"/>
    <x v="3"/>
    <n v="609"/>
    <n v="588"/>
    <n v="358092"/>
    <n v="255964.16159999999"/>
    <n v="14466.916799999999"/>
    <n v="13333"/>
    <n v="10522"/>
    <n v="20876.763599999998"/>
    <n v="59198.680399999997"/>
    <n v="102127.83840000001"/>
    <n v="42929.15800000001"/>
    <n v="0.28520000000000001"/>
    <n v="0.11988304122962817"/>
    <n v="588"/>
    <n v="420.30239999999998"/>
    <n v="0.16531695877037186"/>
    <s v="Profitable"/>
  </r>
  <r>
    <x v="7"/>
    <x v="1"/>
    <x v="4"/>
    <n v="754"/>
    <n v="52"/>
    <n v="39208"/>
    <n v="19854.931199999999"/>
    <n v="2646.54"/>
    <n v="18044"/>
    <n v="8694"/>
    <n v="2242.6976"/>
    <n v="31627.2376"/>
    <n v="19353.068800000001"/>
    <n v="-12274.168799999999"/>
    <n v="0.49360000000000004"/>
    <n v="-0.31305266272189347"/>
    <n v="52"/>
    <n v="26.332799999999999"/>
    <n v="0.80665266272189351"/>
    <s v="Not Profitable"/>
  </r>
  <r>
    <x v="7"/>
    <x v="2"/>
    <x v="0"/>
    <n v="2596"/>
    <n v="175"/>
    <n v="454300"/>
    <n v="316510.81"/>
    <n v="10403.469999999999"/>
    <n v="7599"/>
    <n v="2194"/>
    <n v="17626.84"/>
    <n v="37823.31"/>
    <n v="137789.19"/>
    <n v="99965.88"/>
    <n v="0.30330000000000001"/>
    <n v="0.22004375963020031"/>
    <n v="175"/>
    <n v="121.9225"/>
    <n v="8.3256240369799686E-2"/>
    <s v="Profitable"/>
  </r>
  <r>
    <x v="7"/>
    <x v="2"/>
    <x v="1"/>
    <n v="2268"/>
    <n v="62"/>
    <n v="140616"/>
    <n v="82246.2984"/>
    <n v="6510.5208000000002"/>
    <n v="5724"/>
    <n v="4834"/>
    <n v="3923.1864"/>
    <n v="20991.707199999997"/>
    <n v="58369.7016"/>
    <n v="37377.994400000003"/>
    <n v="0.41510000000000002"/>
    <n v="0.2658160835182341"/>
    <n v="62"/>
    <n v="36.263800000000003"/>
    <n v="0.14928391648176592"/>
    <s v="Profitable"/>
  </r>
  <r>
    <x v="7"/>
    <x v="2"/>
    <x v="2"/>
    <n v="1431"/>
    <n v="47"/>
    <n v="67257"/>
    <n v="40865.353200000005"/>
    <n v="2206.0296000000003"/>
    <n v="7869"/>
    <n v="6917"/>
    <n v="1446.0255"/>
    <n v="18438.055100000001"/>
    <n v="26391.646799999995"/>
    <n v="7953.5916999999936"/>
    <n v="0.39239999999999992"/>
    <n v="0.11825671231247295"/>
    <n v="47"/>
    <n v="28.557200000000005"/>
    <n v="0.27414328768752699"/>
    <s v="Profitable"/>
  </r>
  <r>
    <x v="7"/>
    <x v="2"/>
    <x v="3"/>
    <n v="1308"/>
    <n v="345"/>
    <n v="451260"/>
    <n v="305187.13799999998"/>
    <n v="11281.5"/>
    <n v="10503"/>
    <n v="3898"/>
    <n v="18321.155999999999"/>
    <n v="44003.656000000003"/>
    <n v="146072.86200000002"/>
    <n v="102069.20600000002"/>
    <n v="0.32370000000000004"/>
    <n v="0.22618713380312905"/>
    <n v="345"/>
    <n v="233.3235"/>
    <n v="9.7512866196870995E-2"/>
    <s v="Profitable"/>
  </r>
  <r>
    <x v="7"/>
    <x v="2"/>
    <x v="4"/>
    <n v="1016"/>
    <n v="61"/>
    <n v="61976"/>
    <n v="35419.284"/>
    <n v="2590.5967999999998"/>
    <n v="12285"/>
    <n v="2454"/>
    <n v="3545.0272"/>
    <n v="20874.624"/>
    <n v="26556.716"/>
    <n v="5682.0920000000006"/>
    <n v="0.42849999999999999"/>
    <n v="9.1682135020007757E-2"/>
    <n v="61"/>
    <n v="34.861499999999999"/>
    <n v="0.33681786497999228"/>
    <s v="Profitable"/>
  </r>
  <r>
    <x v="8"/>
    <x v="0"/>
    <x v="0"/>
    <n v="2049"/>
    <n v="239"/>
    <n v="489711"/>
    <n v="308322.04560000001"/>
    <n v="45836.9496"/>
    <n v="5935"/>
    <n v="2244"/>
    <n v="18511.075799999999"/>
    <n v="72527.025399999999"/>
    <n v="181388.95439999999"/>
    <n v="108861.92899999999"/>
    <n v="0.37039999999999995"/>
    <n v="0.22229831267829392"/>
    <n v="239"/>
    <n v="150.4744"/>
    <n v="0.14810168732170606"/>
    <s v="Profitable"/>
  </r>
  <r>
    <x v="8"/>
    <x v="0"/>
    <x v="1"/>
    <n v="920"/>
    <n v="31"/>
    <n v="28520"/>
    <n v="16205.064"/>
    <n v="2903.3360000000002"/>
    <n v="4137"/>
    <n v="2936"/>
    <n v="715.85199999999998"/>
    <n v="10692.188"/>
    <n v="12314.936"/>
    <n v="1622.7479999999996"/>
    <n v="0.43179999999999996"/>
    <n v="5.6898597475455809E-2"/>
    <n v="31"/>
    <n v="17.6142"/>
    <n v="0.37490140252454418"/>
    <s v="Profitable"/>
  </r>
  <r>
    <x v="8"/>
    <x v="0"/>
    <x v="2"/>
    <n v="1002"/>
    <n v="42"/>
    <n v="42084"/>
    <n v="23352.411599999999"/>
    <n v="3257.3015999999998"/>
    <n v="8841"/>
    <n v="2908"/>
    <n v="1973.7396000000001"/>
    <n v="16980.0412"/>
    <n v="18731.588400000001"/>
    <n v="1751.5472000000009"/>
    <n v="0.4451"/>
    <n v="4.1620264233437905E-2"/>
    <n v="42"/>
    <n v="23.305799999999998"/>
    <n v="0.4034797357665621"/>
    <s v="Profitable"/>
  </r>
  <r>
    <x v="8"/>
    <x v="0"/>
    <x v="3"/>
    <n v="1905"/>
    <n v="418"/>
    <n v="796290"/>
    <n v="520056.99900000001"/>
    <n v="94439.993999999992"/>
    <n v="9552"/>
    <n v="3023"/>
    <n v="37346.000999999997"/>
    <n v="144360.995"/>
    <n v="276233.00099999999"/>
    <n v="131872.00599999999"/>
    <n v="0.34689999999999999"/>
    <n v="0.16560801466802294"/>
    <n v="418"/>
    <n v="272.99580000000003"/>
    <n v="0.18129198533197705"/>
    <s v="Profitable"/>
  </r>
  <r>
    <x v="8"/>
    <x v="0"/>
    <x v="4"/>
    <n v="1726"/>
    <n v="16"/>
    <n v="27616"/>
    <n v="17710.140800000001"/>
    <n v="3228.3104000000003"/>
    <n v="5992"/>
    <n v="2153"/>
    <n v="1607.2511999999999"/>
    <n v="12980.561600000001"/>
    <n v="9905.859199999999"/>
    <n v="-3074.7024000000019"/>
    <n v="0.35869999999999996"/>
    <n v="-0.11133771726535349"/>
    <n v="16"/>
    <n v="10.260800000000001"/>
    <n v="0.47003771726535343"/>
    <s v="Not Profitable"/>
  </r>
  <r>
    <x v="8"/>
    <x v="1"/>
    <x v="0"/>
    <n v="917"/>
    <n v="196"/>
    <n v="179732"/>
    <n v="119018.5304"/>
    <n v="7404.9584000000004"/>
    <n v="9739"/>
    <n v="8779"/>
    <n v="9076.4660000000003"/>
    <n v="34999.424400000004"/>
    <n v="60713.469599999997"/>
    <n v="25714.045199999993"/>
    <n v="0.33779999999999999"/>
    <n v="0.14306882024347359"/>
    <n v="196"/>
    <n v="129.7912"/>
    <n v="0.1947311797565264"/>
    <s v="Profitable"/>
  </r>
  <r>
    <x v="8"/>
    <x v="1"/>
    <x v="1"/>
    <n v="638"/>
    <n v="62"/>
    <n v="39556"/>
    <n v="21554.064400000003"/>
    <n v="2377.3155999999999"/>
    <n v="17718"/>
    <n v="7524"/>
    <n v="1075.9232"/>
    <n v="28695.238800000003"/>
    <n v="18001.935599999997"/>
    <n v="-10693.303200000006"/>
    <n v="0.45509999999999995"/>
    <n v="-0.27033327940135521"/>
    <n v="62"/>
    <n v="33.783800000000006"/>
    <n v="0.72543327940135516"/>
    <s v="Not Profitable"/>
  </r>
  <r>
    <x v="8"/>
    <x v="1"/>
    <x v="2"/>
    <n v="738"/>
    <n v="41"/>
    <n v="30258"/>
    <n v="18215.315999999999"/>
    <n v="1558.2869999999998"/>
    <n v="12476"/>
    <n v="13680"/>
    <n v="1624.8545999999999"/>
    <n v="29339.141599999999"/>
    <n v="12042.684000000001"/>
    <n v="-17296.457599999998"/>
    <n v="0.39800000000000002"/>
    <n v="-0.57163254676449193"/>
    <n v="41"/>
    <n v="24.681999999999999"/>
    <n v="0.96963254676449195"/>
    <s v="Not Profitable"/>
  </r>
  <r>
    <x v="8"/>
    <x v="1"/>
    <x v="3"/>
    <n v="1378"/>
    <n v="409"/>
    <n v="563602"/>
    <n v="425519.51"/>
    <n v="24573.047200000001"/>
    <n v="11607"/>
    <n v="6590"/>
    <n v="29250.943800000001"/>
    <n v="72020.991000000009"/>
    <n v="138082.49"/>
    <n v="66061.498999999982"/>
    <n v="0.245"/>
    <n v="0.11721303153643881"/>
    <n v="409"/>
    <n v="308.79500000000002"/>
    <n v="0.12778696846356119"/>
    <s v="Profitable"/>
  </r>
  <r>
    <x v="8"/>
    <x v="1"/>
    <x v="4"/>
    <n v="712"/>
    <n v="33"/>
    <n v="23496"/>
    <n v="14966.952000000001"/>
    <n v="953.93759999999997"/>
    <n v="13880"/>
    <n v="14756"/>
    <n v="474.61919999999998"/>
    <n v="30064.556799999998"/>
    <n v="8529.0479999999989"/>
    <n v="-21535.5088"/>
    <n v="0.36299999999999993"/>
    <n v="-0.91656064010895466"/>
    <n v="33"/>
    <n v="21.021000000000001"/>
    <n v="1.2795606401089548"/>
    <s v="Not Profitable"/>
  </r>
  <r>
    <x v="8"/>
    <x v="2"/>
    <x v="0"/>
    <n v="2738"/>
    <n v="83"/>
    <n v="227254"/>
    <n v="153669.15480000002"/>
    <n v="11021.819"/>
    <n v="5532"/>
    <n v="3014"/>
    <n v="4590.5308000000005"/>
    <n v="24158.3498"/>
    <n v="73584.845199999982"/>
    <n v="49426.495399999985"/>
    <n v="0.32379999999999992"/>
    <n v="0.21749450130690762"/>
    <n v="83"/>
    <n v="56.124600000000008"/>
    <n v="0.1063054986930923"/>
    <s v="Profitable"/>
  </r>
  <r>
    <x v="8"/>
    <x v="2"/>
    <x v="1"/>
    <n v="3373"/>
    <n v="47"/>
    <n v="158531"/>
    <n v="87683.496100000004"/>
    <n v="5960.7656000000006"/>
    <n v="6671"/>
    <n v="3901"/>
    <n v="4962.0203000000001"/>
    <n v="21494.785899999999"/>
    <n v="70847.503899999996"/>
    <n v="49352.717999999993"/>
    <n v="0.44689999999999996"/>
    <n v="0.31131272747916805"/>
    <n v="47"/>
    <n v="25.995700000000003"/>
    <n v="0.13558727252083189"/>
    <s v="Profitable"/>
  </r>
  <r>
    <x v="8"/>
    <x v="2"/>
    <x v="2"/>
    <n v="2673"/>
    <n v="71"/>
    <n v="189783"/>
    <n v="110662.46729999999"/>
    <n v="6167.9475000000002"/>
    <n v="5630"/>
    <n v="5014"/>
    <n v="7800.0812999999998"/>
    <n v="24612.0288"/>
    <n v="79120.532700000011"/>
    <n v="54508.503900000011"/>
    <n v="0.41690000000000005"/>
    <n v="0.28721489227169983"/>
    <n v="71"/>
    <n v="41.400099999999995"/>
    <n v="0.12968510772830022"/>
    <s v="Profitable"/>
  </r>
  <r>
    <x v="8"/>
    <x v="2"/>
    <x v="3"/>
    <n v="3207"/>
    <n v="270"/>
    <n v="865890"/>
    <n v="594693.25199999998"/>
    <n v="26756.001"/>
    <n v="5617"/>
    <n v="5199"/>
    <n v="21041.127"/>
    <n v="58613.128000000004"/>
    <n v="271196.74800000002"/>
    <n v="212583.62000000002"/>
    <n v="0.31320000000000003"/>
    <n v="0.24550880596842559"/>
    <n v="270"/>
    <n v="185.43600000000001"/>
    <n v="6.7691194031574448E-2"/>
    <s v="Profitable"/>
  </r>
  <r>
    <x v="8"/>
    <x v="2"/>
    <x v="4"/>
    <n v="3106"/>
    <n v="40"/>
    <n v="124240"/>
    <n v="61995.76"/>
    <n v="4870.2079999999996"/>
    <n v="12685"/>
    <n v="4812"/>
    <n v="4932.3280000000004"/>
    <n v="27299.536"/>
    <n v="62244.24"/>
    <n v="34944.703999999998"/>
    <n v="0.501"/>
    <n v="0.28126773985833869"/>
    <n v="40"/>
    <n v="19.96"/>
    <n v="0.21973226014166131"/>
    <s v="Profitable"/>
  </r>
  <r>
    <x v="9"/>
    <x v="0"/>
    <x v="0"/>
    <n v="681"/>
    <n v="219"/>
    <n v="149139"/>
    <n v="98372.084399999992"/>
    <n v="15555.197700000001"/>
    <n v="9431"/>
    <n v="2974"/>
    <n v="5771.6792999999998"/>
    <n v="33731.877"/>
    <n v="50766.915600000008"/>
    <n v="17035.038600000007"/>
    <n v="0.34040000000000004"/>
    <n v="0.11422256150302743"/>
    <n v="219"/>
    <n v="144.45239999999998"/>
    <n v="0.22617743849697264"/>
    <s v="Profitable"/>
  </r>
  <r>
    <x v="9"/>
    <x v="0"/>
    <x v="1"/>
    <n v="2088"/>
    <n v="67"/>
    <n v="139896"/>
    <n v="82552.6296"/>
    <n v="16046.0712"/>
    <n v="10714"/>
    <n v="1197"/>
    <n v="4910.3495999999996"/>
    <n v="32867.4208"/>
    <n v="57343.3704"/>
    <n v="24475.9496"/>
    <n v="0.40989999999999999"/>
    <n v="0.17495818036255503"/>
    <n v="67"/>
    <n v="39.536700000000003"/>
    <n v="0.23494181963744495"/>
    <s v="Profitable"/>
  </r>
  <r>
    <x v="9"/>
    <x v="0"/>
    <x v="2"/>
    <n v="2025"/>
    <n v="107"/>
    <n v="216675"/>
    <n v="131868.405"/>
    <n v="22534.2"/>
    <n v="7582"/>
    <n v="3094"/>
    <n v="9100.35"/>
    <n v="42310.549999999996"/>
    <n v="84806.595000000001"/>
    <n v="42496.045000000006"/>
    <n v="0.39140000000000003"/>
    <n v="0.19612804892119537"/>
    <n v="107"/>
    <n v="65.120199999999997"/>
    <n v="0.19527195107880463"/>
    <s v="Profitable"/>
  </r>
  <r>
    <x v="9"/>
    <x v="0"/>
    <x v="3"/>
    <n v="1254"/>
    <n v="498"/>
    <n v="624492"/>
    <n v="471616.35839999997"/>
    <n v="43901.787600000003"/>
    <n v="4402"/>
    <n v="3847"/>
    <n v="36220.536"/>
    <n v="88371.323600000003"/>
    <n v="152875.64160000003"/>
    <n v="64504.318000000028"/>
    <n v="0.24480000000000005"/>
    <n v="0.10329086361394546"/>
    <n v="498"/>
    <n v="376.08959999999996"/>
    <n v="0.14150913638605458"/>
    <s v="Profitable"/>
  </r>
  <r>
    <x v="9"/>
    <x v="0"/>
    <x v="4"/>
    <n v="1310"/>
    <n v="90"/>
    <n v="117900"/>
    <n v="78026.22"/>
    <n v="9526.32"/>
    <n v="6987"/>
    <n v="2033"/>
    <n v="6578.82"/>
    <n v="25125.14"/>
    <n v="39873.78"/>
    <n v="14748.64"/>
    <n v="0.3382"/>
    <n v="0.12509448685326546"/>
    <n v="90"/>
    <n v="59.561999999999998"/>
    <n v="0.21310551314673451"/>
    <s v="Profitable"/>
  </r>
  <r>
    <x v="9"/>
    <x v="1"/>
    <x v="0"/>
    <n v="1320"/>
    <n v="196"/>
    <n v="258720"/>
    <n v="164934"/>
    <n v="12366.816000000001"/>
    <n v="15798"/>
    <n v="8162"/>
    <n v="8641.2479999999996"/>
    <n v="44968.063999999998"/>
    <n v="93786"/>
    <n v="48817.936000000002"/>
    <n v="0.36249999999999999"/>
    <n v="0.18869022881880027"/>
    <n v="196"/>
    <n v="124.95"/>
    <n v="0.17380977118119975"/>
    <s v="Profitable"/>
  </r>
  <r>
    <x v="9"/>
    <x v="1"/>
    <x v="1"/>
    <n v="731"/>
    <n v="70"/>
    <n v="51170"/>
    <n v="25042.598000000002"/>
    <n v="2256.5970000000002"/>
    <n v="17658"/>
    <n v="8607"/>
    <n v="1540.2170000000001"/>
    <n v="30061.814000000002"/>
    <n v="26127.401999999998"/>
    <n v="-3934.4120000000039"/>
    <n v="0.51059999999999994"/>
    <n v="-7.6889036544850575E-2"/>
    <n v="70"/>
    <n v="34.258000000000003"/>
    <n v="0.58748903654485052"/>
    <s v="Not Profitable"/>
  </r>
  <r>
    <x v="9"/>
    <x v="1"/>
    <x v="2"/>
    <n v="1204"/>
    <n v="54"/>
    <n v="65016"/>
    <n v="39042.108"/>
    <n v="2854.2024000000001"/>
    <n v="9921"/>
    <n v="8440"/>
    <n v="2412.0936000000002"/>
    <n v="23627.296000000002"/>
    <n v="25973.892"/>
    <n v="2346.5959999999977"/>
    <n v="0.39950000000000002"/>
    <n v="3.6092592592592558E-2"/>
    <n v="54"/>
    <n v="32.427"/>
    <n v="0.36340740740740746"/>
    <s v="Profitable"/>
  </r>
  <r>
    <x v="9"/>
    <x v="1"/>
    <x v="3"/>
    <n v="714"/>
    <n v="504"/>
    <n v="359856"/>
    <n v="247796.84159999999"/>
    <n v="11803.276800000001"/>
    <n v="19021"/>
    <n v="10741"/>
    <n v="17992.8"/>
    <n v="59558.076799999995"/>
    <n v="112059.15840000001"/>
    <n v="52501.08160000002"/>
    <n v="0.31140000000000007"/>
    <n v="0.14589469565604024"/>
    <n v="504"/>
    <n v="347.05439999999999"/>
    <n v="0.1655053043439598"/>
    <s v="Profitable"/>
  </r>
  <r>
    <x v="9"/>
    <x v="1"/>
    <x v="4"/>
    <n v="868"/>
    <n v="76"/>
    <n v="65968"/>
    <n v="36599.046399999999"/>
    <n v="2737.672"/>
    <n v="12251"/>
    <n v="13442"/>
    <n v="3852.5311999999999"/>
    <n v="32283.2032"/>
    <n v="29368.953600000001"/>
    <n v="-2914.2495999999992"/>
    <n v="0.44519999999999998"/>
    <n v="-4.4176715983507142E-2"/>
    <n v="76"/>
    <n v="42.1648"/>
    <n v="0.48937671598350713"/>
    <s v="Not Profitable"/>
  </r>
  <r>
    <x v="9"/>
    <x v="2"/>
    <x v="0"/>
    <n v="3092"/>
    <n v="185"/>
    <n v="572020"/>
    <n v="353679.96599999996"/>
    <n v="22022.77"/>
    <n v="13744"/>
    <n v="5254"/>
    <n v="13671.278"/>
    <n v="54692.048000000003"/>
    <n v="218340.03400000004"/>
    <n v="163647.98600000003"/>
    <n v="0.38170000000000009"/>
    <n v="0.28608787454984097"/>
    <n v="185"/>
    <n v="114.38549999999998"/>
    <n v="9.5612125450159083E-2"/>
    <s v="Profitable"/>
  </r>
  <r>
    <x v="9"/>
    <x v="2"/>
    <x v="1"/>
    <n v="1493"/>
    <n v="60"/>
    <n v="89580"/>
    <n v="41583.036"/>
    <n v="3054.6779999999999"/>
    <n v="6915"/>
    <n v="5817"/>
    <n v="4138.5959999999995"/>
    <n v="19925.273999999998"/>
    <n v="47996.964"/>
    <n v="28071.690000000002"/>
    <n v="0.53580000000000005"/>
    <n v="0.31337006028131281"/>
    <n v="60"/>
    <n v="27.852"/>
    <n v="0.22242993971868719"/>
    <s v="Profitable"/>
  </r>
  <r>
    <x v="9"/>
    <x v="2"/>
    <x v="2"/>
    <n v="1893"/>
    <n v="44"/>
    <n v="83292"/>
    <n v="51591.064799999993"/>
    <n v="2465.4432000000002"/>
    <n v="12644"/>
    <n v="5203"/>
    <n v="4597.7183999999997"/>
    <n v="24910.161599999999"/>
    <n v="31700.935200000007"/>
    <n v="6790.7736000000077"/>
    <n v="0.3806000000000001"/>
    <n v="8.1529721942083369E-2"/>
    <n v="44"/>
    <n v="27.253599999999995"/>
    <n v="0.29907027805791669"/>
    <s v="Profitable"/>
  </r>
  <r>
    <x v="9"/>
    <x v="2"/>
    <x v="3"/>
    <n v="2138"/>
    <n v="199"/>
    <n v="425462"/>
    <n v="323266.02760000003"/>
    <n v="17443.941999999999"/>
    <n v="12954"/>
    <n v="4707"/>
    <n v="22847.309399999998"/>
    <n v="57952.251399999994"/>
    <n v="102195.97239999997"/>
    <n v="44243.720999999976"/>
    <n v="0.24019999999999994"/>
    <n v="0.10398982987904908"/>
    <n v="199"/>
    <n v="151.20020000000002"/>
    <n v="0.13621017012095085"/>
    <s v="Profitable"/>
  </r>
  <r>
    <x v="9"/>
    <x v="2"/>
    <x v="4"/>
    <n v="2520"/>
    <n v="70"/>
    <n v="176400"/>
    <n v="108750.6"/>
    <n v="7638.12"/>
    <n v="9341"/>
    <n v="3346"/>
    <n v="6403.32"/>
    <n v="26728.44"/>
    <n v="67649.399999999994"/>
    <n v="40920.959999999992"/>
    <n v="0.38349999999999995"/>
    <n v="0.23197823129251696"/>
    <n v="70"/>
    <n v="43.155000000000001"/>
    <n v="0.15152176870748299"/>
    <s v="Profitable"/>
  </r>
  <r>
    <x v="10"/>
    <x v="0"/>
    <x v="0"/>
    <n v="1749"/>
    <n v="146"/>
    <n v="255354"/>
    <n v="170678.61360000001"/>
    <n v="29646.599399999999"/>
    <n v="4966"/>
    <n v="2208"/>
    <n v="5413.5047999999997"/>
    <n v="42234.104200000002"/>
    <n v="84675.386399999988"/>
    <n v="42441.282199999987"/>
    <n v="0.33159999999999995"/>
    <n v="0.16620566820962268"/>
    <n v="146"/>
    <n v="97.586400000000012"/>
    <n v="0.1653943317903773"/>
    <s v="Profitable"/>
  </r>
  <r>
    <x v="10"/>
    <x v="0"/>
    <x v="1"/>
    <n v="1221"/>
    <n v="67"/>
    <n v="81807"/>
    <n v="48405.2019"/>
    <n v="7313.5457999999999"/>
    <n v="4758"/>
    <n v="2207"/>
    <n v="1709.7663"/>
    <n v="15988.312099999999"/>
    <n v="33401.7981"/>
    <n v="17413.486000000001"/>
    <n v="0.4083"/>
    <n v="0.21286058650237755"/>
    <n v="67"/>
    <n v="39.643900000000002"/>
    <n v="0.19543941349762245"/>
    <s v="Profitable"/>
  </r>
  <r>
    <x v="10"/>
    <x v="0"/>
    <x v="2"/>
    <n v="1111"/>
    <n v="36"/>
    <n v="39996"/>
    <n v="23185.681199999999"/>
    <n v="4155.5844000000006"/>
    <n v="10303"/>
    <n v="1861"/>
    <n v="2391.7608"/>
    <n v="18711.3452"/>
    <n v="16810.318800000001"/>
    <n v="-1901.0263999999988"/>
    <n v="0.42030000000000001"/>
    <n v="-4.75304130413041E-2"/>
    <n v="36"/>
    <n v="20.869199999999999"/>
    <n v="0.46783041304130413"/>
    <s v="Not Profitable"/>
  </r>
  <r>
    <x v="10"/>
    <x v="0"/>
    <x v="3"/>
    <n v="713"/>
    <n v="598"/>
    <n v="426374"/>
    <n v="271642.87540000002"/>
    <n v="37520.911999999997"/>
    <n v="10884"/>
    <n v="1677"/>
    <n v="21531.886999999999"/>
    <n v="71613.798999999999"/>
    <n v="154731.12459999998"/>
    <n v="83117.325599999982"/>
    <n v="0.36289999999999994"/>
    <n v="0.19493994849592139"/>
    <n v="598"/>
    <n v="380.98580000000004"/>
    <n v="0.16796005150407858"/>
    <s v="Profitable"/>
  </r>
  <r>
    <x v="10"/>
    <x v="0"/>
    <x v="4"/>
    <n v="1079"/>
    <n v="33"/>
    <n v="35607"/>
    <n v="23521.984199999999"/>
    <n v="4034.2730999999999"/>
    <n v="11444"/>
    <n v="3939"/>
    <n v="1523.9795999999999"/>
    <n v="20941.252699999997"/>
    <n v="12085.015800000001"/>
    <n v="-8856.2368999999962"/>
    <n v="0.33940000000000003"/>
    <n v="-0.2487217934675765"/>
    <n v="33"/>
    <n v="21.799799999999998"/>
    <n v="0.58812179346757654"/>
    <s v="Not Profitable"/>
  </r>
  <r>
    <x v="10"/>
    <x v="1"/>
    <x v="0"/>
    <n v="1057"/>
    <n v="198"/>
    <n v="209286"/>
    <n v="145516.5558"/>
    <n v="11782.801800000001"/>
    <n v="19086"/>
    <n v="12378"/>
    <n v="11803.7304"/>
    <n v="55050.532200000001"/>
    <n v="63769.444199999998"/>
    <n v="8718.9119999999966"/>
    <n v="0.30469999999999997"/>
    <n v="4.1660273501333091E-2"/>
    <n v="198"/>
    <n v="137.6694"/>
    <n v="0.26303972649866691"/>
    <s v="Profitable"/>
  </r>
  <r>
    <x v="10"/>
    <x v="1"/>
    <x v="1"/>
    <n v="661"/>
    <n v="68"/>
    <n v="44948"/>
    <n v="20797.439600000002"/>
    <n v="2849.7031999999999"/>
    <n v="8060"/>
    <n v="8024"/>
    <n v="1968.7224000000001"/>
    <n v="20902.425599999999"/>
    <n v="24150.560399999998"/>
    <n v="3248.1347999999998"/>
    <n v="0.5373"/>
    <n v="7.2264278722078842E-2"/>
    <n v="68"/>
    <n v="31.463600000000003"/>
    <n v="0.46503572127792114"/>
    <s v="Profitable"/>
  </r>
  <r>
    <x v="10"/>
    <x v="1"/>
    <x v="2"/>
    <n v="1237"/>
    <n v="52"/>
    <n v="64324"/>
    <n v="39565.6924"/>
    <n v="3081.1196"/>
    <n v="14778"/>
    <n v="8108"/>
    <n v="3023.2280000000001"/>
    <n v="28990.347599999997"/>
    <n v="24758.3076"/>
    <n v="-4232.0399999999972"/>
    <n v="0.38490000000000002"/>
    <n v="-6.579255021453885E-2"/>
    <n v="52"/>
    <n v="31.985199999999999"/>
    <n v="0.45069255021453886"/>
    <s v="Not Profitable"/>
  </r>
  <r>
    <x v="10"/>
    <x v="1"/>
    <x v="3"/>
    <n v="333"/>
    <n v="237"/>
    <n v="78921"/>
    <n v="58527.813600000001"/>
    <n v="4987.8072000000002"/>
    <n v="10863"/>
    <n v="11165"/>
    <n v="4656.3389999999999"/>
    <n v="31672.146199999999"/>
    <n v="20393.186399999999"/>
    <n v="-11278.959800000001"/>
    <n v="0.25839999999999996"/>
    <n v="-0.14291455759557026"/>
    <n v="237"/>
    <n v="175.75919999999999"/>
    <n v="0.40131455759557022"/>
    <s v="Not Profitable"/>
  </r>
  <r>
    <x v="10"/>
    <x v="1"/>
    <x v="4"/>
    <n v="1387"/>
    <n v="87"/>
    <n v="120669"/>
    <n v="67176.4323"/>
    <n v="4983.6297000000004"/>
    <n v="14339"/>
    <n v="10794"/>
    <n v="3426.9996000000001"/>
    <n v="33543.629300000001"/>
    <n v="53492.5677"/>
    <n v="19948.938399999999"/>
    <n v="0.44329999999999997"/>
    <n v="0.1653194971367957"/>
    <n v="87"/>
    <n v="48.432900000000004"/>
    <n v="0.2779805028632043"/>
    <s v="Profitable"/>
  </r>
  <r>
    <x v="10"/>
    <x v="2"/>
    <x v="0"/>
    <n v="2442"/>
    <n v="208"/>
    <n v="507936"/>
    <n v="356774.2464"/>
    <n v="12292.0512"/>
    <n v="5674"/>
    <n v="3993"/>
    <n v="16914.268800000002"/>
    <n v="38873.320000000007"/>
    <n v="151161.7536"/>
    <n v="112288.43359999999"/>
    <n v="0.29759999999999998"/>
    <n v="0.22106807471807469"/>
    <n v="208"/>
    <n v="146.0992"/>
    <n v="7.6531925281925289E-2"/>
    <s v="Profitable"/>
  </r>
  <r>
    <x v="10"/>
    <x v="2"/>
    <x v="1"/>
    <n v="1405"/>
    <n v="46"/>
    <n v="64630"/>
    <n v="32457.185999999998"/>
    <n v="3037.61"/>
    <n v="6118"/>
    <n v="3684"/>
    <n v="1764.3989999999999"/>
    <n v="14604.009"/>
    <n v="32172.814000000002"/>
    <n v="17568.805"/>
    <n v="0.49780000000000002"/>
    <n v="0.27183668574965186"/>
    <n v="46"/>
    <n v="23.101199999999999"/>
    <n v="0.22596331425034813"/>
    <s v="Profitable"/>
  </r>
  <r>
    <x v="10"/>
    <x v="2"/>
    <x v="2"/>
    <n v="1620"/>
    <n v="106"/>
    <n v="171720"/>
    <n v="86048.891999999993"/>
    <n v="6010.2000000000007"/>
    <n v="9079"/>
    <n v="5845"/>
    <n v="8139.5280000000002"/>
    <n v="29073.728000000003"/>
    <n v="85671.108000000007"/>
    <n v="56597.380000000005"/>
    <n v="0.49890000000000007"/>
    <n v="0.32959107849988356"/>
    <n v="106"/>
    <n v="53.116599999999998"/>
    <n v="0.16930892150011648"/>
    <s v="Profitable"/>
  </r>
  <r>
    <x v="10"/>
    <x v="2"/>
    <x v="3"/>
    <n v="2111"/>
    <n v="506"/>
    <n v="1068166"/>
    <n v="774420.35"/>
    <n v="25208.7176"/>
    <n v="12393"/>
    <n v="6143"/>
    <n v="42406.190199999997"/>
    <n v="86150.907800000001"/>
    <n v="293745.65000000002"/>
    <n v="207594.74220000004"/>
    <n v="0.27500000000000002"/>
    <n v="0.19434689196248528"/>
    <n v="506"/>
    <n v="366.84999999999997"/>
    <n v="8.065310803751477E-2"/>
    <s v="Profitable"/>
  </r>
  <r>
    <x v="10"/>
    <x v="2"/>
    <x v="4"/>
    <n v="1786"/>
    <n v="34"/>
    <n v="60724"/>
    <n v="29432.9228"/>
    <n v="1256.9867999999999"/>
    <n v="7842"/>
    <n v="3214"/>
    <n v="1639.548"/>
    <n v="13952.534800000001"/>
    <n v="31291.0772"/>
    <n v="17338.542399999998"/>
    <n v="0.51529999999999998"/>
    <n v="0.28553030762136877"/>
    <n v="34"/>
    <n v="16.479800000000001"/>
    <n v="0.22976969237863121"/>
    <s v="Profitable"/>
  </r>
  <r>
    <x v="11"/>
    <x v="0"/>
    <x v="0"/>
    <n v="2136"/>
    <n v="128"/>
    <n v="273408"/>
    <n v="164044.79999999999"/>
    <n v="21872.639999999999"/>
    <n v="5504"/>
    <n v="2178"/>
    <n v="5714.2272000000003"/>
    <n v="35268.867200000001"/>
    <n v="109363.20000000001"/>
    <n v="74094.332800000004"/>
    <n v="0.4"/>
    <n v="0.27100279728464421"/>
    <n v="128"/>
    <n v="76.8"/>
    <n v="0.12899720271535581"/>
    <s v="Profitable"/>
  </r>
  <r>
    <x v="11"/>
    <x v="0"/>
    <x v="1"/>
    <n v="1055"/>
    <n v="67"/>
    <n v="70685"/>
    <n v="32557.511000000002"/>
    <n v="5025.7034999999996"/>
    <n v="9441"/>
    <n v="2423"/>
    <n v="3067.7289999999998"/>
    <n v="19957.432499999999"/>
    <n v="38127.489000000001"/>
    <n v="18170.056500000002"/>
    <n v="0.53939999999999999"/>
    <n v="0.25705675178609327"/>
    <n v="67"/>
    <n v="30.860200000000003"/>
    <n v="0.28234324821390677"/>
    <s v="Profitable"/>
  </r>
  <r>
    <x v="11"/>
    <x v="0"/>
    <x v="2"/>
    <n v="1253"/>
    <n v="56"/>
    <n v="70168"/>
    <n v="36739.964799999994"/>
    <n v="7164.1527999999998"/>
    <n v="5604"/>
    <n v="1025"/>
    <n v="2378.6952000000001"/>
    <n v="16171.848"/>
    <n v="33428.035200000006"/>
    <n v="17256.187200000008"/>
    <n v="0.4764000000000001"/>
    <n v="0.24592673583399852"/>
    <n v="56"/>
    <n v="29.321599999999997"/>
    <n v="0.23047326416600158"/>
    <s v="Profitable"/>
  </r>
  <r>
    <x v="11"/>
    <x v="0"/>
    <x v="3"/>
    <n v="2021"/>
    <n v="506"/>
    <n v="1022626"/>
    <n v="688431.82319999998"/>
    <n v="118011.0404"/>
    <n v="5154"/>
    <n v="3726"/>
    <n v="40495.989600000001"/>
    <n v="167387.03"/>
    <n v="334194.17680000002"/>
    <n v="166807.14680000002"/>
    <n v="0.32680000000000003"/>
    <n v="0.16311647347123975"/>
    <n v="506"/>
    <n v="340.63920000000002"/>
    <n v="0.16368352652876028"/>
    <s v="Profitable"/>
  </r>
  <r>
    <x v="11"/>
    <x v="0"/>
    <x v="4"/>
    <n v="1293"/>
    <n v="48"/>
    <n v="62064"/>
    <n v="36890.8416"/>
    <n v="5629.2048000000004"/>
    <n v="11807"/>
    <n v="1344"/>
    <n v="3401.1071999999999"/>
    <n v="22181.311999999998"/>
    <n v="25173.1584"/>
    <n v="2991.8464000000022"/>
    <n v="0.40560000000000002"/>
    <n v="4.8205826243877321E-2"/>
    <n v="48"/>
    <n v="28.531199999999998"/>
    <n v="0.3573941737561227"/>
    <s v="Profitable"/>
  </r>
  <r>
    <x v="11"/>
    <x v="1"/>
    <x v="0"/>
    <n v="976"/>
    <n v="162"/>
    <n v="158112"/>
    <n v="95736.816000000006"/>
    <n v="10451.203200000002"/>
    <n v="18001"/>
    <n v="11438"/>
    <n v="3351.9744000000001"/>
    <n v="43242.177600000003"/>
    <n v="62375.183999999994"/>
    <n v="19133.006399999991"/>
    <n v="0.39449999999999996"/>
    <n v="0.12100919854280505"/>
    <n v="162"/>
    <n v="98.091000000000008"/>
    <n v="0.2734908014571949"/>
    <s v="Profitable"/>
  </r>
  <r>
    <x v="11"/>
    <x v="1"/>
    <x v="1"/>
    <n v="785"/>
    <n v="52"/>
    <n v="40820"/>
    <n v="23687.846000000001"/>
    <n v="1318.4860000000001"/>
    <n v="14058"/>
    <n v="6272"/>
    <n v="1751.1780000000001"/>
    <n v="23399.664000000001"/>
    <n v="17132.153999999999"/>
    <n v="-6267.510000000002"/>
    <n v="0.41969999999999996"/>
    <n v="-0.15354017638412548"/>
    <n v="52"/>
    <n v="30.175600000000003"/>
    <n v="0.5732401763841255"/>
    <s v="Not Profitable"/>
  </r>
  <r>
    <x v="11"/>
    <x v="1"/>
    <x v="2"/>
    <n v="1070"/>
    <n v="92"/>
    <n v="98440"/>
    <n v="59339.631999999998"/>
    <n v="3730.8760000000002"/>
    <n v="16309"/>
    <n v="6912"/>
    <n v="2244.4319999999998"/>
    <n v="29196.308000000001"/>
    <n v="39100.368000000002"/>
    <n v="9904.0600000000013"/>
    <n v="0.3972"/>
    <n v="0.10061011783827714"/>
    <n v="92"/>
    <n v="55.457599999999999"/>
    <n v="0.29658988216172288"/>
    <s v="Profitable"/>
  </r>
  <r>
    <x v="11"/>
    <x v="1"/>
    <x v="3"/>
    <n v="1280"/>
    <n v="324"/>
    <n v="414720"/>
    <n v="267784.70400000003"/>
    <n v="18040.32"/>
    <n v="16959"/>
    <n v="11097"/>
    <n v="14017.536"/>
    <n v="60113.856"/>
    <n v="146935.29599999997"/>
    <n v="86821.439999999973"/>
    <n v="0.35429999999999995"/>
    <n v="0.20934953703703696"/>
    <n v="324"/>
    <n v="209.20680000000002"/>
    <n v="0.14495046296296296"/>
    <s v="Profitable"/>
  </r>
  <r>
    <x v="11"/>
    <x v="1"/>
    <x v="4"/>
    <n v="737"/>
    <n v="33"/>
    <n v="24321"/>
    <n v="15993.489599999999"/>
    <n v="967.97580000000005"/>
    <n v="16247"/>
    <n v="12134"/>
    <n v="1096.8770999999999"/>
    <n v="30445.852900000002"/>
    <n v="8327.510400000001"/>
    <n v="-22118.342499999999"/>
    <n v="0.34240000000000004"/>
    <n v="-0.90943392541425105"/>
    <n v="33"/>
    <n v="21.700799999999997"/>
    <n v="1.2518339254142512"/>
    <s v="Not Profitable"/>
  </r>
  <r>
    <x v="11"/>
    <x v="2"/>
    <x v="0"/>
    <n v="3215"/>
    <n v="86"/>
    <n v="276490"/>
    <n v="190888.696"/>
    <n v="9400.66"/>
    <n v="9138"/>
    <n v="3780"/>
    <n v="12359.102999999999"/>
    <n v="34677.762999999999"/>
    <n v="85601.304000000004"/>
    <n v="50923.541000000005"/>
    <n v="0.30959999999999999"/>
    <n v="0.18417859958768854"/>
    <n v="86"/>
    <n v="59.374400000000001"/>
    <n v="0.12542140041231148"/>
    <s v="Profitable"/>
  </r>
  <r>
    <x v="11"/>
    <x v="2"/>
    <x v="1"/>
    <n v="3012"/>
    <n v="70"/>
    <n v="210840"/>
    <n v="120642.64800000002"/>
    <n v="8370.348"/>
    <n v="9176"/>
    <n v="4543"/>
    <n v="5502.924"/>
    <n v="27592.271999999997"/>
    <n v="90197.351999999984"/>
    <n v="62605.079999999987"/>
    <n v="0.4277999999999999"/>
    <n v="0.296931701764371"/>
    <n v="70"/>
    <n v="40.054000000000002"/>
    <n v="0.1308682982356289"/>
    <s v="Profitable"/>
  </r>
  <r>
    <x v="11"/>
    <x v="2"/>
    <x v="2"/>
    <n v="2129"/>
    <n v="106"/>
    <n v="225674"/>
    <n v="124639.75020000001"/>
    <n v="10538.9758"/>
    <n v="10913"/>
    <n v="5694"/>
    <n v="13450.170400000001"/>
    <n v="40596.146200000003"/>
    <n v="101034.24979999999"/>
    <n v="60438.103599999988"/>
    <n v="0.44769999999999993"/>
    <n v="0.26781154940312124"/>
    <n v="106"/>
    <n v="58.543800000000005"/>
    <n v="0.17988845059687869"/>
    <s v="Profitable"/>
  </r>
  <r>
    <x v="11"/>
    <x v="2"/>
    <x v="3"/>
    <n v="2190"/>
    <n v="458"/>
    <n v="1003020"/>
    <n v="624079.04399999999"/>
    <n v="37412.646000000001"/>
    <n v="6796"/>
    <n v="3927"/>
    <n v="20160.702000000001"/>
    <n v="68296.347999999998"/>
    <n v="378940.95600000001"/>
    <n v="310644.60800000001"/>
    <n v="0.37780000000000002"/>
    <n v="0.30970928595641162"/>
    <n v="458"/>
    <n v="284.9676"/>
    <n v="6.8090714043588366E-2"/>
    <s v="Profitable"/>
  </r>
  <r>
    <x v="11"/>
    <x v="2"/>
    <x v="4"/>
    <n v="2664"/>
    <n v="74"/>
    <n v="197136"/>
    <n v="133401.93119999999"/>
    <n v="9383.6736000000001"/>
    <n v="9877"/>
    <n v="6614"/>
    <n v="10645.343999999999"/>
    <n v="36520.017599999999"/>
    <n v="63734.068800000008"/>
    <n v="27214.051200000009"/>
    <n v="0.32330000000000003"/>
    <n v="0.13804709033357687"/>
    <n v="74"/>
    <n v="50.075799999999994"/>
    <n v="0.18525290966642319"/>
    <s v="Profitabl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EBC051-2742-40C0-9D8B-931568F7234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Month">
  <location ref="A2:B15" firstHeaderRow="1" firstDataRow="1" firstDataCol="1"/>
  <pivotFields count="20">
    <pivotField axis="axisRow" showAll="0">
      <items count="13">
        <item x="0"/>
        <item x="1"/>
        <item x="2"/>
        <item x="3"/>
        <item x="4"/>
        <item x="5"/>
        <item x="6"/>
        <item x="7"/>
        <item x="8"/>
        <item x="9"/>
        <item x="10"/>
        <item x="11"/>
        <item t="default"/>
      </items>
    </pivotField>
    <pivotField showAll="0">
      <items count="4">
        <item x="0"/>
        <item x="1"/>
        <item x="2"/>
        <item t="default"/>
      </items>
    </pivotField>
    <pivotField showAll="0">
      <items count="6">
        <item x="3"/>
        <item x="0"/>
        <item x="1"/>
        <item x="2"/>
        <item x="4"/>
        <item t="default"/>
      </items>
    </pivotField>
    <pivotField numFmtId="164" showAll="0"/>
    <pivotField numFmtId="166" showAll="0"/>
    <pivotField dataField="1"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7" showAll="0"/>
    <pivotField numFmtId="167" showAll="0"/>
    <pivotField numFmtId="165" showAll="0"/>
    <pivotField numFmtId="165" showAll="0"/>
    <pivotField numFmtId="167" showAll="0"/>
    <pivotField showAll="0"/>
  </pivotFields>
  <rowFields count="1">
    <field x="0"/>
  </rowFields>
  <rowItems count="13">
    <i>
      <x/>
    </i>
    <i>
      <x v="1"/>
    </i>
    <i>
      <x v="2"/>
    </i>
    <i>
      <x v="3"/>
    </i>
    <i>
      <x v="4"/>
    </i>
    <i>
      <x v="5"/>
    </i>
    <i>
      <x v="6"/>
    </i>
    <i>
      <x v="7"/>
    </i>
    <i>
      <x v="8"/>
    </i>
    <i>
      <x v="9"/>
    </i>
    <i>
      <x v="10"/>
    </i>
    <i>
      <x v="11"/>
    </i>
    <i t="grand">
      <x/>
    </i>
  </rowItems>
  <colItems count="1">
    <i/>
  </colItems>
  <dataFields count="1">
    <dataField name="Total Revenue" fld="5" baseField="0" baseItem="0" numFmtId="166"/>
  </dataFields>
  <formats count="13">
    <format dxfId="19">
      <pivotArea type="all" dataOnly="0" outline="0" fieldPosition="0"/>
    </format>
    <format dxfId="18">
      <pivotArea outline="0" collapsedLevelsAreSubtotals="1" fieldPosition="0"/>
    </format>
    <format dxfId="17">
      <pivotArea field="0" type="button" dataOnly="0" labelOnly="1" outline="0" axis="axisRow" fieldPosition="0"/>
    </format>
    <format dxfId="16">
      <pivotArea dataOnly="0" labelOnly="1" fieldPosition="0">
        <references count="1">
          <reference field="0" count="0"/>
        </references>
      </pivotArea>
    </format>
    <format dxfId="15">
      <pivotArea dataOnly="0" labelOnly="1" grandRow="1" outline="0" fieldPosition="0"/>
    </format>
    <format dxfId="14">
      <pivotArea dataOnly="0" labelOnly="1" outline="0" axis="axisValues" fieldPosition="0"/>
    </format>
    <format dxfId="13">
      <pivotArea field="0" type="button" dataOnly="0" labelOnly="1" outline="0" axis="axisRow" fieldPosition="0"/>
    </format>
    <format dxfId="12">
      <pivotArea dataOnly="0" labelOnly="1" outline="0" axis="axisValues" fieldPosition="0"/>
    </format>
    <format dxfId="11">
      <pivotArea grandRow="1" outline="0" collapsedLevelsAreSubtotals="1" fieldPosition="0"/>
    </format>
    <format dxfId="10">
      <pivotArea dataOnly="0" labelOnly="1" grandRow="1" outline="0" fieldPosition="0"/>
    </format>
    <format dxfId="9">
      <pivotArea field="0" type="button" dataOnly="0" labelOnly="1" outline="0" axis="axisRow" fieldPosition="0"/>
    </format>
    <format dxfId="8">
      <pivotArea dataOnly="0" labelOnly="1" fieldPosition="0">
        <references count="1">
          <reference field="0" count="0"/>
        </references>
      </pivotArea>
    </format>
    <format dxfId="7">
      <pivotArea dataOnly="0" labelOnly="1" grandRow="1" outline="0" fieldPosition="0"/>
    </format>
  </format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F46430-F845-4354-9DD8-BB6D6A59C034}"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6:C32" firstHeaderRow="0" firstDataRow="1" firstDataCol="1"/>
  <pivotFields count="20">
    <pivotField showAll="0">
      <items count="13">
        <item x="0"/>
        <item x="1"/>
        <item x="2"/>
        <item x="3"/>
        <item x="4"/>
        <item x="5"/>
        <item x="6"/>
        <item x="7"/>
        <item x="8"/>
        <item x="9"/>
        <item x="10"/>
        <item x="11"/>
        <item t="default"/>
      </items>
    </pivotField>
    <pivotField showAll="0">
      <items count="4">
        <item x="0"/>
        <item x="1"/>
        <item x="2"/>
        <item t="default"/>
      </items>
    </pivotField>
    <pivotField axis="axisRow" showAll="0">
      <items count="6">
        <item x="3"/>
        <item x="0"/>
        <item x="1"/>
        <item x="2"/>
        <item x="4"/>
        <item t="default"/>
      </items>
    </pivotField>
    <pivotField numFmtId="164" showAll="0"/>
    <pivotField numFmtId="166" showAll="0"/>
    <pivotField dataField="1" numFmtId="166" showAll="0"/>
    <pivotField numFmtId="166" showAll="0"/>
    <pivotField numFmtId="166" showAll="0"/>
    <pivotField numFmtId="166" showAll="0"/>
    <pivotField numFmtId="166" showAll="0"/>
    <pivotField numFmtId="166" showAll="0"/>
    <pivotField numFmtId="166" showAll="0"/>
    <pivotField dataField="1" numFmtId="166" showAll="0"/>
    <pivotField numFmtId="166" showAll="0"/>
    <pivotField numFmtId="167" showAll="0"/>
    <pivotField numFmtId="167" showAll="0"/>
    <pivotField numFmtId="165" showAll="0"/>
    <pivotField numFmtId="165" showAll="0"/>
    <pivotField numFmtId="167" showAll="0"/>
    <pivotField showAll="0"/>
  </pivotFields>
  <rowFields count="1">
    <field x="2"/>
  </rowFields>
  <rowItems count="6">
    <i>
      <x/>
    </i>
    <i>
      <x v="1"/>
    </i>
    <i>
      <x v="2"/>
    </i>
    <i>
      <x v="3"/>
    </i>
    <i>
      <x v="4"/>
    </i>
    <i t="grand">
      <x/>
    </i>
  </rowItems>
  <colFields count="1">
    <field x="-2"/>
  </colFields>
  <colItems count="2">
    <i>
      <x/>
    </i>
    <i i="1">
      <x v="1"/>
    </i>
  </colItems>
  <dataFields count="2">
    <dataField name="Sum of Revenue" fld="5" baseField="0" baseItem="0" numFmtId="166"/>
    <dataField name="Sum of Gross Profit" fld="12" baseField="0" baseItem="0" numFmtId="166"/>
  </dataFields>
  <formats count="13">
    <format dxfId="32">
      <pivotArea field="2" type="button" dataOnly="0" labelOnly="1" outline="0" axis="axisRow" fieldPosition="0"/>
    </format>
    <format dxfId="31">
      <pivotArea dataOnly="0" labelOnly="1" outline="0" fieldPosition="0">
        <references count="1">
          <reference field="4294967294" count="2">
            <x v="0"/>
            <x v="1"/>
          </reference>
        </references>
      </pivotArea>
    </format>
    <format dxfId="30">
      <pivotArea grandRow="1" outline="0" collapsedLevelsAreSubtotals="1" fieldPosition="0"/>
    </format>
    <format dxfId="29">
      <pivotArea dataOnly="0" labelOnly="1" grandRow="1" outline="0" fieldPosition="0"/>
    </format>
    <format dxfId="28">
      <pivotArea type="all" dataOnly="0" outline="0" fieldPosition="0"/>
    </format>
    <format dxfId="27">
      <pivotArea outline="0" collapsedLevelsAreSubtotals="1" fieldPosition="0"/>
    </format>
    <format dxfId="26">
      <pivotArea field="2" type="button" dataOnly="0" labelOnly="1" outline="0" axis="axisRow" fieldPosition="0"/>
    </format>
    <format dxfId="25">
      <pivotArea dataOnly="0" labelOnly="1" fieldPosition="0">
        <references count="1">
          <reference field="2" count="0"/>
        </references>
      </pivotArea>
    </format>
    <format dxfId="24">
      <pivotArea dataOnly="0" labelOnly="1" grandRow="1" outline="0" fieldPosition="0"/>
    </format>
    <format dxfId="23">
      <pivotArea dataOnly="0" labelOnly="1" outline="0" fieldPosition="0">
        <references count="1">
          <reference field="4294967294" count="2">
            <x v="0"/>
            <x v="1"/>
          </reference>
        </references>
      </pivotArea>
    </format>
    <format dxfId="22">
      <pivotArea field="2" type="button" dataOnly="0" labelOnly="1" outline="0" axis="axisRow" fieldPosition="0"/>
    </format>
    <format dxfId="21">
      <pivotArea dataOnly="0" labelOnly="1" fieldPosition="0">
        <references count="1">
          <reference field="2" count="0"/>
        </references>
      </pivotArea>
    </format>
    <format dxfId="2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FF79D8-7451-40AB-9197-4B828D7C2FDE}"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Month">
  <location ref="A54:E67" firstHeaderRow="0" firstDataRow="1" firstDataCol="1"/>
  <pivotFields count="20">
    <pivotField axis="axisRow" showAll="0">
      <items count="13">
        <item x="0"/>
        <item x="1"/>
        <item x="2"/>
        <item x="3"/>
        <item x="4"/>
        <item x="5"/>
        <item x="6"/>
        <item x="7"/>
        <item x="8"/>
        <item x="9"/>
        <item x="10"/>
        <item x="11"/>
        <item t="default"/>
      </items>
    </pivotField>
    <pivotField showAll="0">
      <items count="4">
        <item x="0"/>
        <item x="1"/>
        <item x="2"/>
        <item t="default"/>
      </items>
    </pivotField>
    <pivotField showAll="0">
      <items count="6">
        <item x="3"/>
        <item x="0"/>
        <item x="1"/>
        <item x="2"/>
        <item x="4"/>
        <item t="default"/>
      </items>
    </pivotField>
    <pivotField numFmtId="164" showAll="0"/>
    <pivotField numFmtId="166" showAll="0"/>
    <pivotField numFmtId="166" showAll="0"/>
    <pivotField numFmtId="166" showAll="0"/>
    <pivotField dataField="1" numFmtId="166" showAll="0"/>
    <pivotField dataField="1" numFmtId="166" showAll="0"/>
    <pivotField dataField="1" numFmtId="166" showAll="0"/>
    <pivotField dataField="1" numFmtId="166" showAll="0"/>
    <pivotField numFmtId="166" showAll="0"/>
    <pivotField numFmtId="166" showAll="0"/>
    <pivotField numFmtId="166" showAll="0"/>
    <pivotField numFmtId="167" showAll="0"/>
    <pivotField numFmtId="167" showAll="0"/>
    <pivotField numFmtId="165" showAll="0"/>
    <pivotField numFmtId="165" showAll="0"/>
    <pivotField numFmtId="167" showAll="0"/>
    <pivotField showAll="0"/>
  </pivotFields>
  <rowFields count="1">
    <field x="0"/>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name="Marketing" fld="7" baseField="0" baseItem="0" numFmtId="166"/>
    <dataField name="Payroll" fld="8" baseField="0" baseItem="0" numFmtId="166"/>
    <dataField name="Allocated Rent" fld="9" baseField="0" baseItem="0" numFmtId="166"/>
    <dataField name="Other OpEx" fld="10" baseField="0" baseItem="0" numFmtId="166"/>
  </dataFields>
  <formats count="13">
    <format dxfId="45">
      <pivotArea field="0" type="button" dataOnly="0" labelOnly="1" outline="0" axis="axisRow" fieldPosition="0"/>
    </format>
    <format dxfId="44">
      <pivotArea dataOnly="0" labelOnly="1" outline="0" fieldPosition="0">
        <references count="1">
          <reference field="4294967294" count="4">
            <x v="0"/>
            <x v="1"/>
            <x v="2"/>
            <x v="3"/>
          </reference>
        </references>
      </pivotArea>
    </format>
    <format dxfId="43">
      <pivotArea grandRow="1" outline="0" collapsedLevelsAreSubtotals="1" fieldPosition="0"/>
    </format>
    <format dxfId="42">
      <pivotArea dataOnly="0" labelOnly="1" grandRow="1" outline="0" fieldPosition="0"/>
    </format>
    <format dxfId="41">
      <pivotArea type="all" dataOnly="0" outline="0" fieldPosition="0"/>
    </format>
    <format dxfId="40">
      <pivotArea outline="0" collapsedLevelsAreSubtotals="1" fieldPosition="0"/>
    </format>
    <format dxfId="39">
      <pivotArea field="0" type="button" dataOnly="0" labelOnly="1" outline="0" axis="axisRow" fieldPosition="0"/>
    </format>
    <format dxfId="38">
      <pivotArea dataOnly="0" labelOnly="1" fieldPosition="0">
        <references count="1">
          <reference field="0" count="0"/>
        </references>
      </pivotArea>
    </format>
    <format dxfId="37">
      <pivotArea dataOnly="0" labelOnly="1" grandRow="1" outline="0" fieldPosition="0"/>
    </format>
    <format dxfId="36">
      <pivotArea dataOnly="0" labelOnly="1" outline="0" fieldPosition="0">
        <references count="1">
          <reference field="4294967294" count="4">
            <x v="0"/>
            <x v="1"/>
            <x v="2"/>
            <x v="3"/>
          </reference>
        </references>
      </pivotArea>
    </format>
    <format dxfId="35">
      <pivotArea field="0" type="button" dataOnly="0" labelOnly="1" outline="0" axis="axisRow" fieldPosition="0"/>
    </format>
    <format dxfId="34">
      <pivotArea dataOnly="0" labelOnly="1" fieldPosition="0">
        <references count="1">
          <reference field="0" count="0"/>
        </references>
      </pivotArea>
    </format>
    <format dxfId="33">
      <pivotArea dataOnly="0" labelOnly="1" grandRow="1" outline="0" fieldPosition="0"/>
    </format>
  </formats>
  <chartFormats count="4">
    <chartFormat chart="14" format="8"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1"/>
          </reference>
        </references>
      </pivotArea>
    </chartFormat>
    <chartFormat chart="14" format="10" series="1">
      <pivotArea type="data" outline="0" fieldPosition="0">
        <references count="1">
          <reference field="4294967294" count="1" selected="0">
            <x v="2"/>
          </reference>
        </references>
      </pivotArea>
    </chartFormat>
    <chartFormat chart="14"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F10D23-032A-413C-A5F6-0D2FF8FBB26A}"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colHeaderCaption="Sales Channel">
  <location ref="A36:E50" firstHeaderRow="1" firstDataRow="2" firstDataCol="1"/>
  <pivotFields count="20">
    <pivotField axis="axisRow" showAll="0">
      <items count="13">
        <item x="0"/>
        <item x="1"/>
        <item x="2"/>
        <item x="3"/>
        <item x="4"/>
        <item x="5"/>
        <item x="6"/>
        <item x="7"/>
        <item x="8"/>
        <item x="9"/>
        <item x="10"/>
        <item x="11"/>
        <item t="default"/>
      </items>
    </pivotField>
    <pivotField axis="axisCol" showAll="0">
      <items count="4">
        <item x="0"/>
        <item x="1"/>
        <item x="2"/>
        <item t="default"/>
      </items>
    </pivotField>
    <pivotField showAll="0">
      <items count="6">
        <item x="3"/>
        <item x="0"/>
        <item x="1"/>
        <item x="2"/>
        <item x="4"/>
        <item t="default"/>
      </items>
    </pivotField>
    <pivotField numFmtId="164"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dataField="1" numFmtId="166" showAll="0"/>
    <pivotField numFmtId="167" showAll="0"/>
    <pivotField numFmtId="167" showAll="0"/>
    <pivotField numFmtId="165" showAll="0"/>
    <pivotField numFmtId="165" showAll="0"/>
    <pivotField numFmtId="167" showAll="0"/>
    <pivotField showAll="0"/>
  </pivotFields>
  <rowFields count="1">
    <field x="0"/>
  </rowFields>
  <rowItems count="13">
    <i>
      <x/>
    </i>
    <i>
      <x v="1"/>
    </i>
    <i>
      <x v="2"/>
    </i>
    <i>
      <x v="3"/>
    </i>
    <i>
      <x v="4"/>
    </i>
    <i>
      <x v="5"/>
    </i>
    <i>
      <x v="6"/>
    </i>
    <i>
      <x v="7"/>
    </i>
    <i>
      <x v="8"/>
    </i>
    <i>
      <x v="9"/>
    </i>
    <i>
      <x v="10"/>
    </i>
    <i>
      <x v="11"/>
    </i>
    <i t="grand">
      <x/>
    </i>
  </rowItems>
  <colFields count="1">
    <field x="1"/>
  </colFields>
  <colItems count="4">
    <i>
      <x/>
    </i>
    <i>
      <x v="1"/>
    </i>
    <i>
      <x v="2"/>
    </i>
    <i t="grand">
      <x/>
    </i>
  </colItems>
  <dataFields count="1">
    <dataField name="Total Operating Profit" fld="13" baseField="0" baseItem="0" numFmtId="166"/>
  </dataFields>
  <formats count="19">
    <format dxfId="64">
      <pivotArea collapsedLevelsAreSubtotals="1" fieldPosition="0">
        <references count="1">
          <reference field="0" count="0"/>
        </references>
      </pivotArea>
    </format>
    <format dxfId="63">
      <pivotArea dataOnly="0" labelOnly="1" fieldPosition="0">
        <references count="1">
          <reference field="0" count="0"/>
        </references>
      </pivotArea>
    </format>
    <format dxfId="62">
      <pivotArea type="origin" dataOnly="0" labelOnly="1" outline="0" fieldPosition="0"/>
    </format>
    <format dxfId="61">
      <pivotArea field="1" type="button" dataOnly="0" labelOnly="1" outline="0" axis="axisCol" fieldPosition="0"/>
    </format>
    <format dxfId="60">
      <pivotArea type="topRight" dataOnly="0" labelOnly="1" outline="0" fieldPosition="0"/>
    </format>
    <format dxfId="59">
      <pivotArea field="0" type="button" dataOnly="0" labelOnly="1" outline="0" axis="axisRow" fieldPosition="0"/>
    </format>
    <format dxfId="58">
      <pivotArea dataOnly="0" labelOnly="1" fieldPosition="0">
        <references count="1">
          <reference field="1" count="0"/>
        </references>
      </pivotArea>
    </format>
    <format dxfId="57">
      <pivotArea dataOnly="0" labelOnly="1" grandCol="1" outline="0" fieldPosition="0"/>
    </format>
    <format dxfId="56">
      <pivotArea grandRow="1" outline="0" collapsedLevelsAreSubtotals="1" fieldPosition="0"/>
    </format>
    <format dxfId="55">
      <pivotArea dataOnly="0" labelOnly="1" grandRow="1" outline="0" fieldPosition="0"/>
    </format>
    <format dxfId="54">
      <pivotArea type="origin" dataOnly="0" labelOnly="1" outline="0" fieldPosition="0"/>
    </format>
    <format dxfId="53">
      <pivotArea field="0" type="button" dataOnly="0" labelOnly="1" outline="0" axis="axisRow" fieldPosition="0"/>
    </format>
    <format dxfId="52">
      <pivotArea dataOnly="0" labelOnly="1" fieldPosition="0">
        <references count="1">
          <reference field="0" count="0"/>
        </references>
      </pivotArea>
    </format>
    <format dxfId="51">
      <pivotArea dataOnly="0" labelOnly="1" grandRow="1" outline="0" fieldPosition="0"/>
    </format>
    <format dxfId="50">
      <pivotArea grandCol="1" outline="0" collapsedLevelsAreSubtotals="1" fieldPosition="0"/>
    </format>
    <format dxfId="49">
      <pivotArea type="topRight" dataOnly="0" labelOnly="1" outline="0" offset="C1" fieldPosition="0"/>
    </format>
    <format dxfId="48">
      <pivotArea dataOnly="0" labelOnly="1" grandCol="1" outline="0" fieldPosition="0"/>
    </format>
    <format dxfId="47">
      <pivotArea dataOnly="0" labelOnly="1" fieldPosition="0">
        <references count="1">
          <reference field="1" count="0"/>
        </references>
      </pivotArea>
    </format>
    <format dxfId="46">
      <pivotArea field="0" grandCol="1" collapsedLevelsAreSubtotals="1" axis="axisRow"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610D03-A356-4093-9A49-BD10F7524076}"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ales Channel">
  <location ref="A19:C23" firstHeaderRow="0" firstDataRow="1" firstDataCol="1"/>
  <pivotFields count="20">
    <pivotField showAll="0">
      <items count="13">
        <item x="0"/>
        <item x="1"/>
        <item x="2"/>
        <item x="3"/>
        <item x="4"/>
        <item x="5"/>
        <item x="6"/>
        <item x="7"/>
        <item x="8"/>
        <item x="9"/>
        <item x="10"/>
        <item x="11"/>
        <item t="default"/>
      </items>
    </pivotField>
    <pivotField axis="axisRow" showAll="0">
      <items count="4">
        <item x="0"/>
        <item x="1"/>
        <item x="2"/>
        <item t="default"/>
      </items>
    </pivotField>
    <pivotField showAll="0">
      <items count="6">
        <item x="3"/>
        <item x="0"/>
        <item x="1"/>
        <item x="2"/>
        <item x="4"/>
        <item t="default"/>
      </items>
    </pivotField>
    <pivotField numFmtId="164" showAll="0"/>
    <pivotField numFmtId="166" showAll="0"/>
    <pivotField dataField="1" numFmtId="166" showAll="0"/>
    <pivotField numFmtId="166" showAll="0"/>
    <pivotField numFmtId="166" showAll="0"/>
    <pivotField numFmtId="166" showAll="0"/>
    <pivotField numFmtId="166" showAll="0"/>
    <pivotField numFmtId="166" showAll="0"/>
    <pivotField numFmtId="166" showAll="0"/>
    <pivotField numFmtId="166" showAll="0"/>
    <pivotField dataField="1" numFmtId="166" showAll="0"/>
    <pivotField numFmtId="167" showAll="0"/>
    <pivotField numFmtId="167" showAll="0"/>
    <pivotField numFmtId="165" showAll="0"/>
    <pivotField numFmtId="165" showAll="0"/>
    <pivotField numFmtId="167" showAll="0"/>
    <pivotField showAll="0"/>
  </pivotFields>
  <rowFields count="1">
    <field x="1"/>
  </rowFields>
  <rowItems count="4">
    <i>
      <x/>
    </i>
    <i>
      <x v="1"/>
    </i>
    <i>
      <x v="2"/>
    </i>
    <i t="grand">
      <x/>
    </i>
  </rowItems>
  <colFields count="1">
    <field x="-2"/>
  </colFields>
  <colItems count="2">
    <i>
      <x/>
    </i>
    <i i="1">
      <x v="1"/>
    </i>
  </colItems>
  <dataFields count="2">
    <dataField name="Total Revenue" fld="5" baseField="1" baseItem="0" numFmtId="166"/>
    <dataField name="Total Operating Profit" fld="13" baseField="1" baseItem="0" numFmtId="166"/>
  </dataFields>
  <formats count="13">
    <format dxfId="77">
      <pivotArea field="1" type="button" dataOnly="0" labelOnly="1" outline="0" axis="axisRow" fieldPosition="0"/>
    </format>
    <format dxfId="76">
      <pivotArea dataOnly="0" labelOnly="1" outline="0" fieldPosition="0">
        <references count="1">
          <reference field="4294967294" count="2">
            <x v="0"/>
            <x v="1"/>
          </reference>
        </references>
      </pivotArea>
    </format>
    <format dxfId="75">
      <pivotArea grandRow="1" outline="0" collapsedLevelsAreSubtotals="1" fieldPosition="0"/>
    </format>
    <format dxfId="74">
      <pivotArea dataOnly="0" labelOnly="1" grandRow="1" outline="0" fieldPosition="0"/>
    </format>
    <format dxfId="73">
      <pivotArea type="all" dataOnly="0" outline="0" fieldPosition="0"/>
    </format>
    <format dxfId="72">
      <pivotArea outline="0" collapsedLevelsAreSubtotals="1" fieldPosition="0"/>
    </format>
    <format dxfId="71">
      <pivotArea field="1" type="button" dataOnly="0" labelOnly="1" outline="0" axis="axisRow" fieldPosition="0"/>
    </format>
    <format dxfId="70">
      <pivotArea dataOnly="0" labelOnly="1" fieldPosition="0">
        <references count="1">
          <reference field="1" count="0"/>
        </references>
      </pivotArea>
    </format>
    <format dxfId="69">
      <pivotArea dataOnly="0" labelOnly="1" grandRow="1" outline="0" fieldPosition="0"/>
    </format>
    <format dxfId="68">
      <pivotArea dataOnly="0" labelOnly="1" outline="0" fieldPosition="0">
        <references count="1">
          <reference field="4294967294" count="2">
            <x v="0"/>
            <x v="1"/>
          </reference>
        </references>
      </pivotArea>
    </format>
    <format dxfId="67">
      <pivotArea field="1" type="button" dataOnly="0" labelOnly="1" outline="0" axis="axisRow" fieldPosition="0"/>
    </format>
    <format dxfId="66">
      <pivotArea dataOnly="0" labelOnly="1" fieldPosition="0">
        <references count="1">
          <reference field="1" count="0"/>
        </references>
      </pivotArea>
    </format>
    <format dxfId="65">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51A62C2-3F41-44FD-BF39-9BF30FAD6A7E}" sourceName="Department">
  <pivotTables>
    <pivotTable tabId="5" name="PivotTable14"/>
    <pivotTable tabId="5" name="PivotTable1"/>
    <pivotTable tabId="5" name="PivotTable15"/>
    <pivotTable tabId="5" name="PivotTable20"/>
    <pivotTable tabId="5" name="PivotTable21"/>
  </pivotTables>
  <data>
    <tabular pivotCacheId="550215888">
      <items count="5">
        <i x="3" s="1"/>
        <i x="0" s="1"/>
        <i x="1"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A3C706D-A8A5-42FE-BF4E-5DFA049E3770}" sourceName="Month">
  <pivotTables>
    <pivotTable tabId="5" name="PivotTable14"/>
    <pivotTable tabId="5" name="PivotTable15"/>
    <pivotTable tabId="5" name="PivotTable20"/>
    <pivotTable tabId="5" name="PivotTable21"/>
    <pivotTable tabId="5" name="PivotTable1"/>
  </pivotTables>
  <data>
    <tabular pivotCacheId="550215888">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DE3B7527-C34B-46AA-B98E-04CBF977E81F}" sourceName="Sales Channel">
  <pivotTables>
    <pivotTable tabId="5" name="PivotTable15"/>
    <pivotTable tabId="5" name="PivotTable1"/>
    <pivotTable tabId="5" name="PivotTable14"/>
    <pivotTable tabId="5" name="PivotTable20"/>
    <pivotTable tabId="5" name="PivotTable21"/>
  </pivotTables>
  <data>
    <tabular pivotCacheId="55021588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8F44319-7874-40AE-9C6B-907CD0C01FAB}" cache="Slicer_Department" caption="Department" rowHeight="247650"/>
  <slicer name="Month" xr10:uid="{778FB8DA-F3E4-4111-94CC-4A9BDE89E138}" cache="Slicer_Month" caption="Month" rowHeight="247650"/>
  <slicer name="Sales Channel" xr10:uid="{9D05A20B-FE82-4E31-946C-58CF5F049E31}" cache="Slicer_Sales_Channel" caption="Sales Channel"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FDC2CE-0DA0-445E-9386-43D14156F183}" name="FinancialData" displayName="FinancialData" ref="A1:K181" totalsRowShown="0">
  <autoFilter ref="A1:K181" xr:uid="{1EFDC2CE-0DA0-445E-9386-43D14156F183}"/>
  <tableColumns count="11">
    <tableColumn id="1" xr3:uid="{7C2BA425-00A5-410B-83D6-5703DF4FA37A}" name="Month"/>
    <tableColumn id="2" xr3:uid="{55EFF9B8-004E-4898-BD1D-E17C2B9AC011}" name="Sales Channel"/>
    <tableColumn id="3" xr3:uid="{AE03197C-780C-4261-902C-4F872D169399}" name="Department"/>
    <tableColumn id="4" xr3:uid="{27BEDBEA-B5B5-4136-8903-B928D0AF69F8}" name="Units Sold" dataDxfId="115" dataCellStyle="Comma"/>
    <tableColumn id="5" xr3:uid="{A6982655-AA26-4020-89CA-C6096003C2AF}" name="Average Selling Price" dataDxfId="114"/>
    <tableColumn id="6" xr3:uid="{9316A6FE-6B39-4F7F-9A6F-E147186A2520}" name="Revenue" dataDxfId="113" dataCellStyle="Currency"/>
    <tableColumn id="7" xr3:uid="{2912862C-41D9-46D4-A486-B8EECF6FF8C2}" name="Cost of Goods Sold" dataDxfId="112"/>
    <tableColumn id="8" xr3:uid="{2F38A05E-EB53-483C-A181-7F2ED306F68C}" name="Marketing Expense" dataDxfId="111"/>
    <tableColumn id="9" xr3:uid="{D14F0C60-6985-44DB-9B92-A95FA1D401B2}" name="Payroll Expense" dataDxfId="110"/>
    <tableColumn id="10" xr3:uid="{88D0A812-0026-4FE9-AAA3-3570E97831D6}" name="Allocated Rent Expense" dataDxfId="109"/>
    <tableColumn id="11" xr3:uid="{4EAEFB34-B593-420D-9CEA-B1E636F427B4}" name="Other Expense" dataDxfId="10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D4E5B1B-13DC-44FE-87D9-EF3CE5C97ED4}" name="FinancialDataLogic" displayName="FinancialDataLogic" ref="N2:P10" totalsRowShown="0">
  <autoFilter ref="N2:P10" xr:uid="{ED4E5B1B-13DC-44FE-87D9-EF3CE5C97ED4}"/>
  <tableColumns count="3">
    <tableColumn id="1" xr3:uid="{5D81C41E-A03F-4A95-A96E-085813B4B406}" name="Column Name"/>
    <tableColumn id="2" xr3:uid="{3269D825-BAD3-43B5-925A-9192C469734A}" name="Business Logic"/>
    <tableColumn id="3" xr3:uid="{B741C16D-29CD-40E4-9CC7-F63EBA8D910F}" name="Formula Used" dataDxfId="107"/>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9F14703-2B1A-4CD4-AA7C-7A0F66D55C49}" name="BudgetData" displayName="BudgetData" ref="A1:E13" totalsRowShown="0">
  <autoFilter ref="A1:E13" xr:uid="{29F14703-2B1A-4CD4-AA7C-7A0F66D55C49}"/>
  <tableColumns count="5">
    <tableColumn id="1" xr3:uid="{0E92A537-4E91-41AA-9A45-F10C31808083}" name="Month"/>
    <tableColumn id="2" xr3:uid="{5AE2D119-74E6-4CB7-8F14-4A6244B941E5}" name="Budget Revenue" dataDxfId="106"/>
    <tableColumn id="3" xr3:uid="{A45D6AA6-0E4A-45CB-9B0B-64BF3E3226A1}" name="Budget COGS" dataDxfId="105"/>
    <tableColumn id="4" xr3:uid="{5C46D758-3316-49F9-B41B-B78C68875018}" name="Budget Operating Expenses" dataDxfId="104"/>
    <tableColumn id="5" xr3:uid="{60DF6DAF-83EA-4CE3-A84F-2CF731428C52}" name="Budget Operating Profit" dataDxfId="10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A44ADFA-8BC0-485B-AE6D-22293B500E46}" name="BudgetDataLogic" displayName="BudgetDataLogic" ref="H2:I6" totalsRowShown="0">
  <autoFilter ref="H2:I6" xr:uid="{EA44ADFA-8BC0-485B-AE6D-22293B500E46}"/>
  <tableColumns count="2">
    <tableColumn id="1" xr3:uid="{C9449B33-8F83-4C3E-8A45-4D43C70E3891}" name="Budget Field"/>
    <tableColumn id="2" xr3:uid="{34BA9E78-ADB7-4536-8792-8748FAA6D5BE}" name="Formula Used"/>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6429260-E7F2-48E2-87A1-FDAB8DCEB2C0}" name="FinancialAnalysis" displayName="FinancialAnalysis" ref="A1:T181" totalsRowShown="0">
  <autoFilter ref="A1:T181" xr:uid="{96429260-E7F2-48E2-87A1-FDAB8DCEB2C0}"/>
  <tableColumns count="20">
    <tableColumn id="1" xr3:uid="{8B5FCA2B-3B52-449F-891A-30DE30692C44}" name="Month"/>
    <tableColumn id="2" xr3:uid="{1D563E27-81E0-4909-A84F-5E1BA8FCEB90}" name="Sales Channel"/>
    <tableColumn id="3" xr3:uid="{0684DD0B-DCE8-4D2B-A331-31A93857C59B}" name="Department"/>
    <tableColumn id="4" xr3:uid="{C2FD9955-7025-4569-9948-55552E0F4389}" name="Units Sold" dataDxfId="102" dataCellStyle="Comma"/>
    <tableColumn id="5" xr3:uid="{894E9021-3BDC-4E37-A5EB-98ED0DA85DEF}" name="Average Selling Price" dataDxfId="101"/>
    <tableColumn id="6" xr3:uid="{F6A82C93-A086-45E4-B62D-16399AB6C38B}" name="Revenue" dataDxfId="100" dataCellStyle="Currency"/>
    <tableColumn id="7" xr3:uid="{E642E19E-D78D-4FCF-9AF9-546705A3D6A6}" name="Cost of Goods Sold" dataDxfId="99"/>
    <tableColumn id="8" xr3:uid="{74648F56-0F4D-4A29-ADE3-7059F01E62B3}" name="Marketing Expense" dataDxfId="98"/>
    <tableColumn id="9" xr3:uid="{267A4085-3B42-4FF9-8011-854633EDCE2D}" name="Payroll Expense" dataDxfId="97"/>
    <tableColumn id="10" xr3:uid="{F63CBDDB-3769-46C9-B9A3-EBFE1C78BFF9}" name="Allocated Rent Expense" dataDxfId="96"/>
    <tableColumn id="11" xr3:uid="{51605E33-EA3B-454F-9EB3-515C913345E8}" name="Other Expense" dataDxfId="95"/>
    <tableColumn id="12" xr3:uid="{4950A95F-900A-416E-A89E-1A8EBF7894F3}" name="Total Operating Expenses" dataDxfId="94">
      <calculatedColumnFormula>SUM(FinancialAnalysis[[#This Row],[Marketing Expense]:[Other Expense]])</calculatedColumnFormula>
    </tableColumn>
    <tableColumn id="13" xr3:uid="{5C63C336-99ED-4716-9540-1E59FD8B5C78}" name="Gross Profit" dataDxfId="93">
      <calculatedColumnFormula>FinancialAnalysis[[#This Row],[Revenue]]-FinancialAnalysis[[#This Row],[Cost of Goods Sold]]</calculatedColumnFormula>
    </tableColumn>
    <tableColumn id="14" xr3:uid="{F14FEA35-18C7-4C86-8FE9-9389FC5206B0}" name="Operating Profit" dataDxfId="92">
      <calculatedColumnFormula>FinancialAnalysis[[#This Row],[Gross Profit]]-FinancialAnalysis[[#This Row],[Total Operating Expenses]]</calculatedColumnFormula>
    </tableColumn>
    <tableColumn id="15" xr3:uid="{7D3ED431-F643-4F37-BBE1-678A673F54A6}" name="Gross Margin" dataDxfId="91" dataCellStyle="Percent">
      <calculatedColumnFormula>FinancialAnalysis[[#This Row],[Gross Profit]]/FinancialAnalysis[[#This Row],[Revenue]]</calculatedColumnFormula>
    </tableColumn>
    <tableColumn id="16" xr3:uid="{1643368C-766C-43EF-B6A6-E336EA24EE7E}" name="Operating Margin" dataDxfId="90" dataCellStyle="Percent">
      <calculatedColumnFormula>FinancialAnalysis[[#This Row],[Operating Profit]]/FinancialAnalysis[[#This Row],[Revenue]]</calculatedColumnFormula>
    </tableColumn>
    <tableColumn id="17" xr3:uid="{2B19134F-6D3D-4DE0-9D1E-8BC048C3AE7B}" name="Revenue Per Unit" dataDxfId="89">
      <calculatedColumnFormula>FinancialAnalysis[[#This Row],[Revenue]]/FinancialAnalysis[[#This Row],[Units Sold]]</calculatedColumnFormula>
    </tableColumn>
    <tableColumn id="18" xr3:uid="{7769F24C-B0DB-44EC-940B-9DE9D4AE2F0A}" name="COGS Per Unit" dataDxfId="88">
      <calculatedColumnFormula>FinancialAnalysis[[#This Row],[Cost of Goods Sold]]/FinancialAnalysis[[#This Row],[Units Sold]]</calculatedColumnFormula>
    </tableColumn>
    <tableColumn id="19" xr3:uid="{CD30E0AA-0875-46BB-9304-C924B81E26F0}" name="Expense Ratio" dataDxfId="87" dataCellStyle="Percent">
      <calculatedColumnFormula>FinancialAnalysis[[#This Row],[Total Operating Expenses]]/FinancialAnalysis[[#This Row],[Revenue]]</calculatedColumnFormula>
    </tableColumn>
    <tableColumn id="20" xr3:uid="{3F8959C2-EA8C-4FBF-B6F0-04A60E776B12}" name="Profit Status" dataDxfId="86">
      <calculatedColumnFormula>IF(FinancialAnalysis[[#This Row],[Operating Profit]]&gt;0,"Profitable","Not Profitable")</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29EF0DB-7A1D-4DF9-B856-CAA9485055D4}" name="MonthlySummary" displayName="MonthlySummary" ref="A1:I13" totalsRowShown="0">
  <autoFilter ref="A1:I13" xr:uid="{D29EF0DB-7A1D-4DF9-B856-CAA9485055D4}"/>
  <tableColumns count="9">
    <tableColumn id="1" xr3:uid="{5F322255-6F17-40A7-AD7E-8DBC16AE5A53}" name="Month"/>
    <tableColumn id="2" xr3:uid="{32FFFE89-261A-4B70-B684-215E10065AD8}" name="Actual Revenue" dataDxfId="85">
      <calculatedColumnFormula>SUMIFS(FinancialData[Revenue],FinancialData[Month],MonthlySummary[[#This Row],[Month]])</calculatedColumnFormula>
    </tableColumn>
    <tableColumn id="3" xr3:uid="{4BAFF538-2453-49BE-8C72-9FFB518C38F8}" name="Budget Revenue" dataDxfId="84">
      <calculatedColumnFormula>_xlfn.XLOOKUP(MonthlySummary[[#This Row],[Month]],BudgetData[Month],BudgetData[Budget Revenue])</calculatedColumnFormula>
    </tableColumn>
    <tableColumn id="4" xr3:uid="{FF96AFBC-0C63-4A48-A8C6-B8C6DD19F6A3}" name="Revenue Variance" dataDxfId="83">
      <calculatedColumnFormula>MonthlySummary[[#This Row],[Actual Revenue]]-MonthlySummary[[#This Row],[Budget Revenue]]</calculatedColumnFormula>
    </tableColumn>
    <tableColumn id="5" xr3:uid="{4A9B8135-7512-461C-A992-8A652B3870D9}" name="Revenue Variance %" dataDxfId="82" dataCellStyle="Percent">
      <calculatedColumnFormula>MonthlySummary[[#This Row],[Revenue Variance]]/MonthlySummary[[#This Row],[Budget Revenue]]</calculatedColumnFormula>
    </tableColumn>
    <tableColumn id="6" xr3:uid="{17A95A50-D19E-415C-A99A-1C52EDC6773C}" name="Actual Operating Profit" dataDxfId="81">
      <calculatedColumnFormula>SUMIFS(FinancialAnalysis[Operating Profit],FinancialAnalysis[Month],MonthlySummary[[#This Row],[Month]])</calculatedColumnFormula>
    </tableColumn>
    <tableColumn id="7" xr3:uid="{1950DD90-3465-4FC0-B356-A9FF44A63D44}" name="Budget Operating Profit" dataDxfId="80">
      <calculatedColumnFormula>_xlfn.XLOOKUP(MonthlySummary[[#This Row],[Month]],BudgetData[Month],BudgetData[Budget Operating Profit])</calculatedColumnFormula>
    </tableColumn>
    <tableColumn id="8" xr3:uid="{1FF78C33-5FE9-4897-89C9-39B9BCFF4778}" name="Operating Profit Variance" dataDxfId="79">
      <calculatedColumnFormula>MonthlySummary[[#This Row],[Actual Operating Profit]]-MonthlySummary[[#This Row],[Budget Operating Profit]]</calculatedColumnFormula>
    </tableColumn>
    <tableColumn id="9" xr3:uid="{94A60486-41A4-4A45-87F8-2C49E71385F9}" name="Operating Profit Variance %" dataDxfId="78" dataCellStyle="Percent">
      <calculatedColumnFormula>MonthlySummary[[#This Row],[Operating Profit Variance]]/MonthlySummary[[#This Row],[Budget Operating Profit]]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8951F-574E-42DF-B5EF-4B2616D7CAA3}">
  <dimension ref="B6:Z68"/>
  <sheetViews>
    <sheetView showGridLines="0" tabSelected="1" zoomScale="90" zoomScaleNormal="90" workbookViewId="0">
      <selection activeCell="AI50" sqref="AI50"/>
    </sheetView>
  </sheetViews>
  <sheetFormatPr defaultRowHeight="14.4" x14ac:dyDescent="0.3"/>
  <cols>
    <col min="1" max="1" width="8.88671875" customWidth="1"/>
  </cols>
  <sheetData>
    <row r="6" spans="2:2" x14ac:dyDescent="0.3">
      <c r="B6" s="5" t="s">
        <v>89</v>
      </c>
    </row>
    <row r="18" spans="2:26" ht="15.6" customHeight="1" x14ac:dyDescent="0.3"/>
    <row r="21" spans="2:26" ht="18" x14ac:dyDescent="0.35">
      <c r="B21" s="44" t="s">
        <v>96</v>
      </c>
    </row>
    <row r="22" spans="2:26" x14ac:dyDescent="0.3">
      <c r="U22" s="51" t="s">
        <v>95</v>
      </c>
      <c r="V22" s="51"/>
      <c r="W22" s="51"/>
      <c r="X22" s="51"/>
      <c r="Y22" s="51"/>
      <c r="Z22" s="51"/>
    </row>
    <row r="29" spans="2:26" ht="14.4" customHeight="1" x14ac:dyDescent="0.3"/>
    <row r="34" spans="22:25" x14ac:dyDescent="0.3">
      <c r="X34" s="41"/>
      <c r="Y34" s="41"/>
    </row>
    <row r="35" spans="22:25" x14ac:dyDescent="0.3">
      <c r="V35" s="41"/>
      <c r="W35" s="41"/>
      <c r="X35" s="41"/>
      <c r="Y35" s="41"/>
    </row>
    <row r="36" spans="22:25" x14ac:dyDescent="0.3">
      <c r="V36" s="41"/>
      <c r="W36" s="41"/>
      <c r="X36" s="41"/>
    </row>
    <row r="37" spans="22:25" x14ac:dyDescent="0.3">
      <c r="V37" s="41"/>
      <c r="W37" s="41"/>
      <c r="X37" s="41"/>
    </row>
    <row r="47" spans="22:25" ht="14.4" customHeight="1" x14ac:dyDescent="0.3"/>
    <row r="68" spans="2:2" ht="21" x14ac:dyDescent="0.4">
      <c r="B68" s="45"/>
    </row>
  </sheetData>
  <mergeCells count="1">
    <mergeCell ref="U22:Z2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4F67D-1ED0-4DE0-9C3F-D8FD23A46CA1}">
  <dimension ref="A1:T185"/>
  <sheetViews>
    <sheetView workbookViewId="0">
      <selection activeCell="G186" sqref="G186"/>
    </sheetView>
  </sheetViews>
  <sheetFormatPr defaultRowHeight="14.4" x14ac:dyDescent="0.3"/>
  <cols>
    <col min="1" max="1" width="8.33203125" bestFit="1" customWidth="1"/>
    <col min="2" max="2" width="14.88671875" bestFit="1" customWidth="1"/>
    <col min="3" max="3" width="13.21875" bestFit="1" customWidth="1"/>
    <col min="4" max="4" width="11.6640625" bestFit="1" customWidth="1"/>
    <col min="5" max="5" width="20.6640625" bestFit="1" customWidth="1"/>
    <col min="6" max="6" width="11.109375" bestFit="1" customWidth="1"/>
    <col min="7" max="8" width="18.77734375" bestFit="1" customWidth="1"/>
    <col min="9" max="9" width="16.33203125" bestFit="1" customWidth="1"/>
    <col min="10" max="10" width="22.77734375" bestFit="1" customWidth="1"/>
    <col min="11" max="11" width="15.109375" bestFit="1" customWidth="1"/>
    <col min="13" max="13" width="10.109375" customWidth="1"/>
    <col min="14" max="14" width="20.6640625" customWidth="1"/>
    <col min="15" max="15" width="54.88671875" customWidth="1"/>
    <col min="16" max="16" width="255.77734375" bestFit="1" customWidth="1"/>
  </cols>
  <sheetData>
    <row r="1" spans="1:20" x14ac:dyDescent="0.3">
      <c r="A1" t="s">
        <v>0</v>
      </c>
      <c r="B1" t="s">
        <v>1</v>
      </c>
      <c r="C1" t="s">
        <v>2</v>
      </c>
      <c r="D1" t="s">
        <v>3</v>
      </c>
      <c r="E1" t="s">
        <v>4</v>
      </c>
      <c r="F1" t="s">
        <v>5</v>
      </c>
      <c r="G1" t="s">
        <v>6</v>
      </c>
      <c r="H1" t="s">
        <v>7</v>
      </c>
      <c r="I1" t="s">
        <v>8</v>
      </c>
      <c r="J1" t="s">
        <v>30</v>
      </c>
      <c r="K1" t="s">
        <v>9</v>
      </c>
      <c r="N1" t="s">
        <v>51</v>
      </c>
    </row>
    <row r="2" spans="1:20" x14ac:dyDescent="0.3">
      <c r="A2" t="s">
        <v>10</v>
      </c>
      <c r="B2" t="s">
        <v>22</v>
      </c>
      <c r="C2" t="s">
        <v>23</v>
      </c>
      <c r="D2" s="1">
        <v>1984</v>
      </c>
      <c r="E2">
        <v>100</v>
      </c>
      <c r="F2" s="2">
        <v>198400</v>
      </c>
      <c r="G2" s="3">
        <v>136558.72</v>
      </c>
      <c r="H2" s="3">
        <v>20336</v>
      </c>
      <c r="I2" s="3">
        <v>11768</v>
      </c>
      <c r="J2" s="3">
        <v>1365</v>
      </c>
      <c r="K2" s="3">
        <v>11606.4</v>
      </c>
      <c r="N2" t="s">
        <v>39</v>
      </c>
      <c r="O2" t="s">
        <v>41</v>
      </c>
      <c r="P2" t="s">
        <v>40</v>
      </c>
    </row>
    <row r="3" spans="1:20" x14ac:dyDescent="0.3">
      <c r="A3" t="s">
        <v>10</v>
      </c>
      <c r="B3" t="s">
        <v>22</v>
      </c>
      <c r="C3" t="s">
        <v>29</v>
      </c>
      <c r="D3" s="1">
        <v>1117</v>
      </c>
      <c r="E3">
        <v>70</v>
      </c>
      <c r="F3" s="2">
        <v>78190</v>
      </c>
      <c r="G3" s="3">
        <v>44474.471999999994</v>
      </c>
      <c r="H3" s="3">
        <v>6591.4170000000004</v>
      </c>
      <c r="I3" s="3">
        <v>11455</v>
      </c>
      <c r="J3" s="3">
        <v>2935</v>
      </c>
      <c r="K3" s="3">
        <v>1806.1890000000001</v>
      </c>
      <c r="N3" t="s">
        <v>3</v>
      </c>
      <c r="O3" t="s">
        <v>44</v>
      </c>
      <c r="P3" t="s">
        <v>31</v>
      </c>
    </row>
    <row r="4" spans="1:20" x14ac:dyDescent="0.3">
      <c r="A4" t="s">
        <v>10</v>
      </c>
      <c r="B4" t="s">
        <v>22</v>
      </c>
      <c r="C4" t="s">
        <v>24</v>
      </c>
      <c r="D4" s="1">
        <v>1282</v>
      </c>
      <c r="E4">
        <v>71</v>
      </c>
      <c r="F4" s="2">
        <v>91022</v>
      </c>
      <c r="G4" s="3">
        <v>51463.838799999998</v>
      </c>
      <c r="H4" s="3">
        <v>6844.8544000000002</v>
      </c>
      <c r="I4" s="3">
        <v>7845</v>
      </c>
      <c r="J4" s="3">
        <v>1830</v>
      </c>
      <c r="K4" s="3">
        <v>2730.66</v>
      </c>
      <c r="N4" t="s">
        <v>4</v>
      </c>
      <c r="O4" t="s">
        <v>43</v>
      </c>
      <c r="P4" t="s">
        <v>32</v>
      </c>
    </row>
    <row r="5" spans="1:20" x14ac:dyDescent="0.3">
      <c r="A5" t="s">
        <v>10</v>
      </c>
      <c r="B5" t="s">
        <v>22</v>
      </c>
      <c r="C5" t="s">
        <v>25</v>
      </c>
      <c r="D5" s="1">
        <v>2088</v>
      </c>
      <c r="E5">
        <v>415</v>
      </c>
      <c r="F5" s="2">
        <v>866520</v>
      </c>
      <c r="G5" s="3">
        <v>582214.78800000006</v>
      </c>
      <c r="H5" s="3">
        <v>64815.696000000004</v>
      </c>
      <c r="I5" s="3">
        <v>8127</v>
      </c>
      <c r="J5" s="3">
        <v>3628</v>
      </c>
      <c r="K5" s="3">
        <v>17677.008000000002</v>
      </c>
      <c r="N5" t="s">
        <v>5</v>
      </c>
      <c r="O5" t="s">
        <v>42</v>
      </c>
      <c r="P5" t="s">
        <v>33</v>
      </c>
      <c r="T5" s="6" t="s">
        <v>49</v>
      </c>
    </row>
    <row r="6" spans="1:20" x14ac:dyDescent="0.3">
      <c r="A6" t="s">
        <v>10</v>
      </c>
      <c r="B6" t="s">
        <v>22</v>
      </c>
      <c r="C6" t="s">
        <v>26</v>
      </c>
      <c r="D6" s="1">
        <v>1859</v>
      </c>
      <c r="E6">
        <v>36</v>
      </c>
      <c r="F6" s="2">
        <v>66924</v>
      </c>
      <c r="G6" s="3">
        <v>33348.229200000002</v>
      </c>
      <c r="H6" s="3">
        <v>4611.0636000000004</v>
      </c>
      <c r="I6" s="3">
        <v>5630</v>
      </c>
      <c r="J6" s="3">
        <v>3054</v>
      </c>
      <c r="K6" s="3">
        <v>3707.5895999999998</v>
      </c>
      <c r="N6" t="s">
        <v>6</v>
      </c>
      <c r="O6" t="s">
        <v>45</v>
      </c>
      <c r="P6" t="s">
        <v>34</v>
      </c>
    </row>
    <row r="7" spans="1:20" x14ac:dyDescent="0.3">
      <c r="A7" t="s">
        <v>10</v>
      </c>
      <c r="B7" t="s">
        <v>27</v>
      </c>
      <c r="C7" t="s">
        <v>23</v>
      </c>
      <c r="D7" s="1">
        <v>1321</v>
      </c>
      <c r="E7">
        <v>226</v>
      </c>
      <c r="F7" s="2">
        <v>298546</v>
      </c>
      <c r="G7" s="3">
        <v>214803.84700000001</v>
      </c>
      <c r="H7" s="3">
        <v>18718.834200000001</v>
      </c>
      <c r="I7" s="3">
        <v>17326</v>
      </c>
      <c r="J7" s="3">
        <v>15411</v>
      </c>
      <c r="K7" s="3">
        <v>13882.388999999999</v>
      </c>
      <c r="N7" t="s">
        <v>7</v>
      </c>
      <c r="O7" t="s">
        <v>46</v>
      </c>
      <c r="P7" t="s">
        <v>35</v>
      </c>
    </row>
    <row r="8" spans="1:20" x14ac:dyDescent="0.3">
      <c r="A8" t="s">
        <v>10</v>
      </c>
      <c r="B8" t="s">
        <v>27</v>
      </c>
      <c r="C8" t="s">
        <v>29</v>
      </c>
      <c r="D8" s="1">
        <v>703</v>
      </c>
      <c r="E8">
        <v>61</v>
      </c>
      <c r="F8" s="2">
        <v>42883</v>
      </c>
      <c r="G8" s="3">
        <v>23426.982899999999</v>
      </c>
      <c r="H8" s="3">
        <v>2988.9450999999999</v>
      </c>
      <c r="I8" s="3">
        <v>9272</v>
      </c>
      <c r="J8" s="3">
        <v>8452</v>
      </c>
      <c r="K8" s="3">
        <v>1904.0052000000001</v>
      </c>
      <c r="N8" t="s">
        <v>8</v>
      </c>
      <c r="O8" t="s">
        <v>50</v>
      </c>
      <c r="P8" t="s">
        <v>36</v>
      </c>
    </row>
    <row r="9" spans="1:20" x14ac:dyDescent="0.3">
      <c r="A9" t="s">
        <v>10</v>
      </c>
      <c r="B9" t="s">
        <v>27</v>
      </c>
      <c r="C9" t="s">
        <v>24</v>
      </c>
      <c r="D9" s="1">
        <v>1041</v>
      </c>
      <c r="E9">
        <v>38</v>
      </c>
      <c r="F9" s="2">
        <v>39558</v>
      </c>
      <c r="G9" s="3">
        <v>21863.706599999998</v>
      </c>
      <c r="H9" s="3">
        <v>2365.5684000000001</v>
      </c>
      <c r="I9" s="3">
        <v>8564</v>
      </c>
      <c r="J9" s="3">
        <v>15680</v>
      </c>
      <c r="K9" s="3">
        <v>2353.701</v>
      </c>
      <c r="N9" t="s">
        <v>30</v>
      </c>
      <c r="O9" t="s">
        <v>48</v>
      </c>
      <c r="P9" t="s">
        <v>37</v>
      </c>
    </row>
    <row r="10" spans="1:20" x14ac:dyDescent="0.3">
      <c r="A10" t="s">
        <v>10</v>
      </c>
      <c r="B10" t="s">
        <v>27</v>
      </c>
      <c r="C10" t="s">
        <v>25</v>
      </c>
      <c r="D10" s="1">
        <v>852</v>
      </c>
      <c r="E10">
        <v>192</v>
      </c>
      <c r="F10" s="2">
        <v>163584</v>
      </c>
      <c r="G10" s="3">
        <v>103286.93759999999</v>
      </c>
      <c r="H10" s="3">
        <v>5676.3648000000003</v>
      </c>
      <c r="I10" s="3">
        <v>14006</v>
      </c>
      <c r="J10" s="3">
        <v>12582</v>
      </c>
      <c r="K10" s="3">
        <v>6232.5504000000001</v>
      </c>
      <c r="N10" t="s">
        <v>9</v>
      </c>
      <c r="O10" t="s">
        <v>47</v>
      </c>
      <c r="P10" t="s">
        <v>38</v>
      </c>
    </row>
    <row r="11" spans="1:20" x14ac:dyDescent="0.3">
      <c r="A11" t="s">
        <v>10</v>
      </c>
      <c r="B11" t="s">
        <v>27</v>
      </c>
      <c r="C11" t="s">
        <v>26</v>
      </c>
      <c r="D11" s="1">
        <v>1164</v>
      </c>
      <c r="E11">
        <v>27</v>
      </c>
      <c r="F11" s="2">
        <v>31428</v>
      </c>
      <c r="G11" s="3">
        <v>19557.644399999997</v>
      </c>
      <c r="H11" s="3">
        <v>1382.8319999999999</v>
      </c>
      <c r="I11" s="3">
        <v>19539</v>
      </c>
      <c r="J11" s="3">
        <v>14355</v>
      </c>
      <c r="K11" s="3">
        <v>854.84159999999997</v>
      </c>
    </row>
    <row r="12" spans="1:20" x14ac:dyDescent="0.3">
      <c r="A12" t="s">
        <v>10</v>
      </c>
      <c r="B12" t="s">
        <v>28</v>
      </c>
      <c r="C12" t="s">
        <v>23</v>
      </c>
      <c r="D12" s="1">
        <v>3419</v>
      </c>
      <c r="E12">
        <v>147</v>
      </c>
      <c r="F12" s="2">
        <v>502593</v>
      </c>
      <c r="G12" s="3">
        <v>342416.61090000003</v>
      </c>
      <c r="H12" s="3">
        <v>12564.825000000001</v>
      </c>
      <c r="I12" s="3">
        <v>5082</v>
      </c>
      <c r="J12" s="3">
        <v>3086</v>
      </c>
      <c r="K12" s="3">
        <v>16334.272499999999</v>
      </c>
    </row>
    <row r="13" spans="1:20" x14ac:dyDescent="0.3">
      <c r="A13" t="s">
        <v>10</v>
      </c>
      <c r="B13" t="s">
        <v>28</v>
      </c>
      <c r="C13" t="s">
        <v>29</v>
      </c>
      <c r="D13" s="1">
        <v>3277</v>
      </c>
      <c r="E13">
        <v>25</v>
      </c>
      <c r="F13" s="2">
        <v>81925</v>
      </c>
      <c r="G13" s="3">
        <v>48827.299999999996</v>
      </c>
      <c r="H13" s="3">
        <v>3539.1600000000003</v>
      </c>
      <c r="I13" s="3">
        <v>12480</v>
      </c>
      <c r="J13" s="3">
        <v>2328</v>
      </c>
      <c r="K13" s="3">
        <v>3309.77</v>
      </c>
    </row>
    <row r="14" spans="1:20" x14ac:dyDescent="0.3">
      <c r="A14" t="s">
        <v>10</v>
      </c>
      <c r="B14" t="s">
        <v>28</v>
      </c>
      <c r="C14" t="s">
        <v>24</v>
      </c>
      <c r="D14" s="1">
        <v>1625</v>
      </c>
      <c r="E14">
        <v>32</v>
      </c>
      <c r="F14" s="2">
        <v>52000</v>
      </c>
      <c r="G14" s="3">
        <v>32650.799999999999</v>
      </c>
      <c r="H14" s="3">
        <v>2225.6</v>
      </c>
      <c r="I14" s="3">
        <v>11417</v>
      </c>
      <c r="J14" s="3">
        <v>6582</v>
      </c>
      <c r="K14" s="3">
        <v>3047.2</v>
      </c>
    </row>
    <row r="15" spans="1:20" x14ac:dyDescent="0.3">
      <c r="A15" t="s">
        <v>10</v>
      </c>
      <c r="B15" t="s">
        <v>28</v>
      </c>
      <c r="C15" t="s">
        <v>25</v>
      </c>
      <c r="D15" s="1">
        <v>2999</v>
      </c>
      <c r="E15">
        <v>315</v>
      </c>
      <c r="F15" s="2">
        <v>944685</v>
      </c>
      <c r="G15" s="3">
        <v>670820.81849999994</v>
      </c>
      <c r="H15" s="3">
        <v>34197.597000000002</v>
      </c>
      <c r="I15" s="3">
        <v>8563</v>
      </c>
      <c r="J15" s="3">
        <v>2083</v>
      </c>
      <c r="K15" s="3">
        <v>32213.7585</v>
      </c>
    </row>
    <row r="16" spans="1:20" x14ac:dyDescent="0.3">
      <c r="A16" t="s">
        <v>10</v>
      </c>
      <c r="B16" t="s">
        <v>28</v>
      </c>
      <c r="C16" t="s">
        <v>26</v>
      </c>
      <c r="D16" s="1">
        <v>1345</v>
      </c>
      <c r="E16">
        <v>18</v>
      </c>
      <c r="F16" s="2">
        <v>24210</v>
      </c>
      <c r="G16" s="3">
        <v>14797.152</v>
      </c>
      <c r="H16" s="3">
        <v>1070.0820000000001</v>
      </c>
      <c r="I16" s="3">
        <v>5579</v>
      </c>
      <c r="J16" s="3">
        <v>5098</v>
      </c>
      <c r="K16" s="3">
        <v>1147.5540000000001</v>
      </c>
    </row>
    <row r="17" spans="1:11" x14ac:dyDescent="0.3">
      <c r="A17" t="s">
        <v>11</v>
      </c>
      <c r="B17" t="s">
        <v>22</v>
      </c>
      <c r="C17" t="s">
        <v>23</v>
      </c>
      <c r="D17" s="1">
        <v>2147</v>
      </c>
      <c r="E17">
        <v>85</v>
      </c>
      <c r="F17" s="2">
        <v>182495</v>
      </c>
      <c r="G17" s="3">
        <v>130757.66750000001</v>
      </c>
      <c r="H17" s="3">
        <v>20822.679499999998</v>
      </c>
      <c r="I17" s="3">
        <v>4278</v>
      </c>
      <c r="J17" s="3">
        <v>3905</v>
      </c>
      <c r="K17" s="3">
        <v>5073.3609999999999</v>
      </c>
    </row>
    <row r="18" spans="1:11" x14ac:dyDescent="0.3">
      <c r="A18" t="s">
        <v>11</v>
      </c>
      <c r="B18" t="s">
        <v>22</v>
      </c>
      <c r="C18" t="s">
        <v>29</v>
      </c>
      <c r="D18" s="1">
        <v>1015</v>
      </c>
      <c r="E18">
        <v>41</v>
      </c>
      <c r="F18" s="2">
        <v>41615</v>
      </c>
      <c r="G18" s="3">
        <v>24061.793000000001</v>
      </c>
      <c r="H18" s="3">
        <v>3578.89</v>
      </c>
      <c r="I18" s="3">
        <v>9449</v>
      </c>
      <c r="J18" s="3">
        <v>3387</v>
      </c>
      <c r="K18" s="3">
        <v>1510.6244999999999</v>
      </c>
    </row>
    <row r="19" spans="1:11" x14ac:dyDescent="0.3">
      <c r="A19" t="s">
        <v>11</v>
      </c>
      <c r="B19" t="s">
        <v>22</v>
      </c>
      <c r="C19" t="s">
        <v>24</v>
      </c>
      <c r="D19" s="1">
        <v>1693</v>
      </c>
      <c r="E19">
        <v>36</v>
      </c>
      <c r="F19" s="2">
        <v>60948</v>
      </c>
      <c r="G19" s="3">
        <v>36733.359600000003</v>
      </c>
      <c r="H19" s="3">
        <v>5521.8887999999997</v>
      </c>
      <c r="I19" s="3">
        <v>10784</v>
      </c>
      <c r="J19" s="3">
        <v>2065</v>
      </c>
      <c r="K19" s="3">
        <v>1999.0944</v>
      </c>
    </row>
    <row r="20" spans="1:11" x14ac:dyDescent="0.3">
      <c r="A20" t="s">
        <v>11</v>
      </c>
      <c r="B20" t="s">
        <v>22</v>
      </c>
      <c r="C20" t="s">
        <v>25</v>
      </c>
      <c r="D20" s="1">
        <v>1324</v>
      </c>
      <c r="E20">
        <v>213</v>
      </c>
      <c r="F20" s="2">
        <v>282012</v>
      </c>
      <c r="G20" s="3">
        <v>194475.47519999999</v>
      </c>
      <c r="H20" s="3">
        <v>32262.1728</v>
      </c>
      <c r="I20" s="3">
        <v>11190</v>
      </c>
      <c r="J20" s="3">
        <v>1630</v>
      </c>
      <c r="K20" s="3">
        <v>8855.1767999999993</v>
      </c>
    </row>
    <row r="21" spans="1:11" x14ac:dyDescent="0.3">
      <c r="A21" t="s">
        <v>11</v>
      </c>
      <c r="B21" t="s">
        <v>22</v>
      </c>
      <c r="C21" t="s">
        <v>26</v>
      </c>
      <c r="D21" s="1">
        <v>1410</v>
      </c>
      <c r="E21">
        <v>87</v>
      </c>
      <c r="F21" s="2">
        <v>122670</v>
      </c>
      <c r="G21" s="3">
        <v>68474.394</v>
      </c>
      <c r="H21" s="3">
        <v>8218.8900000000012</v>
      </c>
      <c r="I21" s="3">
        <v>10173</v>
      </c>
      <c r="J21" s="3">
        <v>2566</v>
      </c>
      <c r="K21" s="3">
        <v>3557.43</v>
      </c>
    </row>
    <row r="22" spans="1:11" x14ac:dyDescent="0.3">
      <c r="A22" t="s">
        <v>11</v>
      </c>
      <c r="B22" t="s">
        <v>27</v>
      </c>
      <c r="C22" t="s">
        <v>23</v>
      </c>
      <c r="D22" s="1">
        <v>503</v>
      </c>
      <c r="E22">
        <v>88</v>
      </c>
      <c r="F22" s="2">
        <v>44264</v>
      </c>
      <c r="G22" s="3">
        <v>27045.304</v>
      </c>
      <c r="H22" s="3">
        <v>1894.4992</v>
      </c>
      <c r="I22" s="3">
        <v>14733</v>
      </c>
      <c r="J22" s="3">
        <v>9312</v>
      </c>
      <c r="K22" s="3">
        <v>2208.7736</v>
      </c>
    </row>
    <row r="23" spans="1:11" x14ac:dyDescent="0.3">
      <c r="A23" t="s">
        <v>11</v>
      </c>
      <c r="B23" t="s">
        <v>27</v>
      </c>
      <c r="C23" t="s">
        <v>29</v>
      </c>
      <c r="D23" s="1">
        <v>1355</v>
      </c>
      <c r="E23">
        <v>41</v>
      </c>
      <c r="F23" s="2">
        <v>55555</v>
      </c>
      <c r="G23" s="3">
        <v>27999.72</v>
      </c>
      <c r="H23" s="3">
        <v>2849.9715000000001</v>
      </c>
      <c r="I23" s="3">
        <v>9279</v>
      </c>
      <c r="J23" s="3">
        <v>11897</v>
      </c>
      <c r="K23" s="3">
        <v>1749.9825000000001</v>
      </c>
    </row>
    <row r="24" spans="1:11" x14ac:dyDescent="0.3">
      <c r="A24" t="s">
        <v>11</v>
      </c>
      <c r="B24" t="s">
        <v>27</v>
      </c>
      <c r="C24" t="s">
        <v>24</v>
      </c>
      <c r="D24" s="1">
        <v>1046</v>
      </c>
      <c r="E24">
        <v>70</v>
      </c>
      <c r="F24" s="2">
        <v>73220</v>
      </c>
      <c r="G24" s="3">
        <v>43441.426000000007</v>
      </c>
      <c r="H24" s="3">
        <v>2372.328</v>
      </c>
      <c r="I24" s="3">
        <v>11087</v>
      </c>
      <c r="J24" s="3">
        <v>11164</v>
      </c>
      <c r="K24" s="3">
        <v>3909.9479999999999</v>
      </c>
    </row>
    <row r="25" spans="1:11" x14ac:dyDescent="0.3">
      <c r="A25" t="s">
        <v>11</v>
      </c>
      <c r="B25" t="s">
        <v>27</v>
      </c>
      <c r="C25" t="s">
        <v>25</v>
      </c>
      <c r="D25" s="1">
        <v>1308</v>
      </c>
      <c r="E25">
        <v>434</v>
      </c>
      <c r="F25" s="2">
        <v>567672</v>
      </c>
      <c r="G25" s="3">
        <v>430976.58240000001</v>
      </c>
      <c r="H25" s="3">
        <v>38601.696000000004</v>
      </c>
      <c r="I25" s="3">
        <v>10040</v>
      </c>
      <c r="J25" s="3">
        <v>14857</v>
      </c>
      <c r="K25" s="3">
        <v>21968.9064</v>
      </c>
    </row>
    <row r="26" spans="1:11" x14ac:dyDescent="0.3">
      <c r="A26" t="s">
        <v>11</v>
      </c>
      <c r="B26" t="s">
        <v>27</v>
      </c>
      <c r="C26" t="s">
        <v>26</v>
      </c>
      <c r="D26" s="1">
        <v>686</v>
      </c>
      <c r="E26">
        <v>60</v>
      </c>
      <c r="F26" s="2">
        <v>41160</v>
      </c>
      <c r="G26" s="3">
        <v>26280.66</v>
      </c>
      <c r="H26" s="3">
        <v>1354.164</v>
      </c>
      <c r="I26" s="3">
        <v>19551</v>
      </c>
      <c r="J26" s="3">
        <v>11810</v>
      </c>
      <c r="K26" s="3">
        <v>1564.08</v>
      </c>
    </row>
    <row r="27" spans="1:11" x14ac:dyDescent="0.3">
      <c r="A27" t="s">
        <v>11</v>
      </c>
      <c r="B27" t="s">
        <v>28</v>
      </c>
      <c r="C27" t="s">
        <v>23</v>
      </c>
      <c r="D27" s="1">
        <v>2377</v>
      </c>
      <c r="E27">
        <v>149</v>
      </c>
      <c r="F27" s="2">
        <v>354173</v>
      </c>
      <c r="G27" s="3">
        <v>230460.37109999999</v>
      </c>
      <c r="H27" s="3">
        <v>12431.472299999999</v>
      </c>
      <c r="I27" s="3">
        <v>5937</v>
      </c>
      <c r="J27" s="3">
        <v>6245</v>
      </c>
      <c r="K27" s="3">
        <v>13989.833500000001</v>
      </c>
    </row>
    <row r="28" spans="1:11" x14ac:dyDescent="0.3">
      <c r="A28" t="s">
        <v>11</v>
      </c>
      <c r="B28" t="s">
        <v>28</v>
      </c>
      <c r="C28" t="s">
        <v>29</v>
      </c>
      <c r="D28" s="1">
        <v>1116</v>
      </c>
      <c r="E28">
        <v>42</v>
      </c>
      <c r="F28" s="2">
        <v>46872</v>
      </c>
      <c r="G28" s="3">
        <v>27176.385599999998</v>
      </c>
      <c r="H28" s="3">
        <v>1617.0840000000001</v>
      </c>
      <c r="I28" s="3">
        <v>12987</v>
      </c>
      <c r="J28" s="3">
        <v>2884</v>
      </c>
      <c r="K28" s="3">
        <v>1260.8568</v>
      </c>
    </row>
    <row r="29" spans="1:11" x14ac:dyDescent="0.3">
      <c r="A29" t="s">
        <v>11</v>
      </c>
      <c r="B29" t="s">
        <v>28</v>
      </c>
      <c r="C29" t="s">
        <v>24</v>
      </c>
      <c r="D29" s="1">
        <v>2676</v>
      </c>
      <c r="E29">
        <v>102</v>
      </c>
      <c r="F29" s="2">
        <v>272952</v>
      </c>
      <c r="G29" s="3">
        <v>138632.32080000002</v>
      </c>
      <c r="H29" s="3">
        <v>9498.7295999999988</v>
      </c>
      <c r="I29" s="3">
        <v>6492</v>
      </c>
      <c r="J29" s="3">
        <v>2818</v>
      </c>
      <c r="K29" s="3">
        <v>8215.8552</v>
      </c>
    </row>
    <row r="30" spans="1:11" x14ac:dyDescent="0.3">
      <c r="A30" t="s">
        <v>11</v>
      </c>
      <c r="B30" t="s">
        <v>28</v>
      </c>
      <c r="C30" t="s">
        <v>25</v>
      </c>
      <c r="D30" s="1">
        <v>3323</v>
      </c>
      <c r="E30">
        <v>483</v>
      </c>
      <c r="F30" s="2">
        <v>1605009</v>
      </c>
      <c r="G30" s="3">
        <v>1196052.7068</v>
      </c>
      <c r="H30" s="3">
        <v>60669.340199999999</v>
      </c>
      <c r="I30" s="3">
        <v>13653</v>
      </c>
      <c r="J30" s="3">
        <v>4798</v>
      </c>
      <c r="K30" s="3">
        <v>57619.823100000001</v>
      </c>
    </row>
    <row r="31" spans="1:11" x14ac:dyDescent="0.3">
      <c r="A31" t="s">
        <v>11</v>
      </c>
      <c r="B31" t="s">
        <v>28</v>
      </c>
      <c r="C31" t="s">
        <v>26</v>
      </c>
      <c r="D31" s="1">
        <v>1136</v>
      </c>
      <c r="E31">
        <v>72</v>
      </c>
      <c r="F31" s="2">
        <v>81792</v>
      </c>
      <c r="G31" s="3">
        <v>49549.5936</v>
      </c>
      <c r="H31" s="3">
        <v>3238.9632000000001</v>
      </c>
      <c r="I31" s="3">
        <v>12344</v>
      </c>
      <c r="J31" s="3">
        <v>5358</v>
      </c>
      <c r="K31" s="3">
        <v>4899.3407999999999</v>
      </c>
    </row>
    <row r="32" spans="1:11" x14ac:dyDescent="0.3">
      <c r="A32" t="s">
        <v>12</v>
      </c>
      <c r="B32" t="s">
        <v>22</v>
      </c>
      <c r="C32" t="s">
        <v>23</v>
      </c>
      <c r="D32" s="1">
        <v>623</v>
      </c>
      <c r="E32">
        <v>195</v>
      </c>
      <c r="F32" s="2">
        <v>121485</v>
      </c>
      <c r="G32" s="3">
        <v>86327.240999999995</v>
      </c>
      <c r="H32" s="3">
        <v>14116.556999999999</v>
      </c>
      <c r="I32" s="3">
        <v>7715</v>
      </c>
      <c r="J32" s="3">
        <v>1766</v>
      </c>
      <c r="K32" s="3">
        <v>3389.4315000000001</v>
      </c>
    </row>
    <row r="33" spans="1:11" x14ac:dyDescent="0.3">
      <c r="A33" t="s">
        <v>12</v>
      </c>
      <c r="B33" t="s">
        <v>22</v>
      </c>
      <c r="C33" t="s">
        <v>29</v>
      </c>
      <c r="D33" s="1">
        <v>980</v>
      </c>
      <c r="E33">
        <v>43</v>
      </c>
      <c r="F33" s="2">
        <v>42140</v>
      </c>
      <c r="G33" s="3">
        <v>20496.896000000001</v>
      </c>
      <c r="H33" s="3">
        <v>4028.5840000000003</v>
      </c>
      <c r="I33" s="3">
        <v>7979</v>
      </c>
      <c r="J33" s="3">
        <v>2975</v>
      </c>
      <c r="K33" s="3">
        <v>1538.11</v>
      </c>
    </row>
    <row r="34" spans="1:11" x14ac:dyDescent="0.3">
      <c r="A34" t="s">
        <v>12</v>
      </c>
      <c r="B34" t="s">
        <v>22</v>
      </c>
      <c r="C34" t="s">
        <v>24</v>
      </c>
      <c r="D34" s="1">
        <v>657</v>
      </c>
      <c r="E34">
        <v>109</v>
      </c>
      <c r="F34" s="2">
        <v>71613</v>
      </c>
      <c r="G34" s="3">
        <v>42294.637800000004</v>
      </c>
      <c r="H34" s="3">
        <v>7992.0108</v>
      </c>
      <c r="I34" s="3">
        <v>9435</v>
      </c>
      <c r="J34" s="3">
        <v>2398</v>
      </c>
      <c r="K34" s="3">
        <v>2262.9708000000001</v>
      </c>
    </row>
    <row r="35" spans="1:11" x14ac:dyDescent="0.3">
      <c r="A35" t="s">
        <v>12</v>
      </c>
      <c r="B35" t="s">
        <v>22</v>
      </c>
      <c r="C35" t="s">
        <v>25</v>
      </c>
      <c r="D35" s="1">
        <v>1785</v>
      </c>
      <c r="E35">
        <v>176</v>
      </c>
      <c r="F35" s="2">
        <v>314160</v>
      </c>
      <c r="G35" s="3">
        <v>207911.08800000002</v>
      </c>
      <c r="H35" s="3">
        <v>20985.887999999999</v>
      </c>
      <c r="I35" s="3">
        <v>6125</v>
      </c>
      <c r="J35" s="3">
        <v>1984</v>
      </c>
      <c r="K35" s="3">
        <v>7728.3360000000002</v>
      </c>
    </row>
    <row r="36" spans="1:11" x14ac:dyDescent="0.3">
      <c r="A36" t="s">
        <v>12</v>
      </c>
      <c r="B36" t="s">
        <v>22</v>
      </c>
      <c r="C36" t="s">
        <v>26</v>
      </c>
      <c r="D36" s="1">
        <v>1248</v>
      </c>
      <c r="E36">
        <v>88</v>
      </c>
      <c r="F36" s="2">
        <v>109824</v>
      </c>
      <c r="G36" s="3">
        <v>58733.875200000002</v>
      </c>
      <c r="H36" s="3">
        <v>10389.350400000001</v>
      </c>
      <c r="I36" s="3">
        <v>10034</v>
      </c>
      <c r="J36" s="3">
        <v>1889</v>
      </c>
      <c r="K36" s="3">
        <v>4986.0096000000003</v>
      </c>
    </row>
    <row r="37" spans="1:11" x14ac:dyDescent="0.3">
      <c r="A37" t="s">
        <v>12</v>
      </c>
      <c r="B37" t="s">
        <v>27</v>
      </c>
      <c r="C37" t="s">
        <v>23</v>
      </c>
      <c r="D37" s="1">
        <v>829</v>
      </c>
      <c r="E37">
        <v>153</v>
      </c>
      <c r="F37" s="2">
        <v>126837</v>
      </c>
      <c r="G37" s="3">
        <v>87847.306200000006</v>
      </c>
      <c r="H37" s="3">
        <v>6075.4922999999999</v>
      </c>
      <c r="I37" s="3">
        <v>18720</v>
      </c>
      <c r="J37" s="3">
        <v>7222</v>
      </c>
      <c r="K37" s="3">
        <v>3716.3240999999998</v>
      </c>
    </row>
    <row r="38" spans="1:11" x14ac:dyDescent="0.3">
      <c r="A38" t="s">
        <v>12</v>
      </c>
      <c r="B38" t="s">
        <v>27</v>
      </c>
      <c r="C38" t="s">
        <v>29</v>
      </c>
      <c r="D38" s="1">
        <v>898</v>
      </c>
      <c r="E38">
        <v>23</v>
      </c>
      <c r="F38" s="2">
        <v>20654</v>
      </c>
      <c r="G38" s="3">
        <v>10196.879800000001</v>
      </c>
      <c r="H38" s="3">
        <v>1189.6704</v>
      </c>
      <c r="I38" s="3">
        <v>9949</v>
      </c>
      <c r="J38" s="3">
        <v>10176</v>
      </c>
      <c r="K38" s="3">
        <v>817.89840000000004</v>
      </c>
    </row>
    <row r="39" spans="1:11" x14ac:dyDescent="0.3">
      <c r="A39" t="s">
        <v>12</v>
      </c>
      <c r="B39" t="s">
        <v>27</v>
      </c>
      <c r="C39" t="s">
        <v>24</v>
      </c>
      <c r="D39" s="1">
        <v>1361</v>
      </c>
      <c r="E39">
        <v>66</v>
      </c>
      <c r="F39" s="2">
        <v>89826</v>
      </c>
      <c r="G39" s="3">
        <v>46161.581400000003</v>
      </c>
      <c r="H39" s="3">
        <v>4635.0216</v>
      </c>
      <c r="I39" s="3">
        <v>14131</v>
      </c>
      <c r="J39" s="3">
        <v>8855</v>
      </c>
      <c r="K39" s="3">
        <v>3512.1966000000002</v>
      </c>
    </row>
    <row r="40" spans="1:11" x14ac:dyDescent="0.3">
      <c r="A40" t="s">
        <v>12</v>
      </c>
      <c r="B40" t="s">
        <v>27</v>
      </c>
      <c r="C40" t="s">
        <v>25</v>
      </c>
      <c r="D40" s="1">
        <v>455</v>
      </c>
      <c r="E40">
        <v>189</v>
      </c>
      <c r="F40" s="2">
        <v>85995</v>
      </c>
      <c r="G40" s="3">
        <v>62931.141000000003</v>
      </c>
      <c r="H40" s="3">
        <v>4273.9515000000001</v>
      </c>
      <c r="I40" s="3">
        <v>13801</v>
      </c>
      <c r="J40" s="3">
        <v>9659</v>
      </c>
      <c r="K40" s="3">
        <v>3345.2055</v>
      </c>
    </row>
    <row r="41" spans="1:11" x14ac:dyDescent="0.3">
      <c r="A41" t="s">
        <v>12</v>
      </c>
      <c r="B41" t="s">
        <v>27</v>
      </c>
      <c r="C41" t="s">
        <v>26</v>
      </c>
      <c r="D41" s="1">
        <v>1360</v>
      </c>
      <c r="E41">
        <v>63</v>
      </c>
      <c r="F41" s="2">
        <v>85680</v>
      </c>
      <c r="G41" s="3">
        <v>57791.159999999996</v>
      </c>
      <c r="H41" s="3">
        <v>3872.7359999999999</v>
      </c>
      <c r="I41" s="3">
        <v>14914</v>
      </c>
      <c r="J41" s="3">
        <v>9491</v>
      </c>
      <c r="K41" s="3">
        <v>3084.48</v>
      </c>
    </row>
    <row r="42" spans="1:11" x14ac:dyDescent="0.3">
      <c r="A42" t="s">
        <v>12</v>
      </c>
      <c r="B42" t="s">
        <v>28</v>
      </c>
      <c r="C42" t="s">
        <v>23</v>
      </c>
      <c r="D42" s="1">
        <v>2241</v>
      </c>
      <c r="E42">
        <v>92</v>
      </c>
      <c r="F42" s="2">
        <v>206172</v>
      </c>
      <c r="G42" s="3">
        <v>125764.92</v>
      </c>
      <c r="H42" s="3">
        <v>5154.3</v>
      </c>
      <c r="I42" s="3">
        <v>12378</v>
      </c>
      <c r="J42" s="3">
        <v>3871</v>
      </c>
      <c r="K42" s="3">
        <v>10349.8344</v>
      </c>
    </row>
    <row r="43" spans="1:11" x14ac:dyDescent="0.3">
      <c r="A43" t="s">
        <v>12</v>
      </c>
      <c r="B43" t="s">
        <v>28</v>
      </c>
      <c r="C43" t="s">
        <v>29</v>
      </c>
      <c r="D43" s="1">
        <v>1285</v>
      </c>
      <c r="E43">
        <v>38</v>
      </c>
      <c r="F43" s="2">
        <v>48830</v>
      </c>
      <c r="G43" s="3">
        <v>26485.392</v>
      </c>
      <c r="H43" s="3">
        <v>1792.0610000000001</v>
      </c>
      <c r="I43" s="3">
        <v>6240</v>
      </c>
      <c r="J43" s="3">
        <v>6119</v>
      </c>
      <c r="K43" s="3">
        <v>1694.4010000000001</v>
      </c>
    </row>
    <row r="44" spans="1:11" x14ac:dyDescent="0.3">
      <c r="A44" t="s">
        <v>12</v>
      </c>
      <c r="B44" t="s">
        <v>28</v>
      </c>
      <c r="C44" t="s">
        <v>24</v>
      </c>
      <c r="D44" s="1">
        <v>1750</v>
      </c>
      <c r="E44">
        <v>37</v>
      </c>
      <c r="F44" s="2">
        <v>64750</v>
      </c>
      <c r="G44" s="3">
        <v>33087.25</v>
      </c>
      <c r="H44" s="3">
        <v>1806.5250000000001</v>
      </c>
      <c r="I44" s="3">
        <v>11882</v>
      </c>
      <c r="J44" s="3">
        <v>2520</v>
      </c>
      <c r="K44" s="3">
        <v>3509.45</v>
      </c>
    </row>
    <row r="45" spans="1:11" x14ac:dyDescent="0.3">
      <c r="A45" t="s">
        <v>12</v>
      </c>
      <c r="B45" t="s">
        <v>28</v>
      </c>
      <c r="C45" t="s">
        <v>25</v>
      </c>
      <c r="D45" s="1">
        <v>1820</v>
      </c>
      <c r="E45">
        <v>288</v>
      </c>
      <c r="F45" s="2">
        <v>524160</v>
      </c>
      <c r="G45" s="3">
        <v>358577.85600000003</v>
      </c>
      <c r="H45" s="3">
        <v>16668.288</v>
      </c>
      <c r="I45" s="3">
        <v>10732</v>
      </c>
      <c r="J45" s="3">
        <v>3512</v>
      </c>
      <c r="K45" s="3">
        <v>29981.952000000001</v>
      </c>
    </row>
    <row r="46" spans="1:11" x14ac:dyDescent="0.3">
      <c r="A46" t="s">
        <v>12</v>
      </c>
      <c r="B46" t="s">
        <v>28</v>
      </c>
      <c r="C46" t="s">
        <v>26</v>
      </c>
      <c r="D46" s="1">
        <v>1465</v>
      </c>
      <c r="E46">
        <v>44</v>
      </c>
      <c r="F46" s="2">
        <v>64460</v>
      </c>
      <c r="G46" s="3">
        <v>34473.208000000006</v>
      </c>
      <c r="H46" s="3">
        <v>1598.6079999999999</v>
      </c>
      <c r="I46" s="3">
        <v>13854</v>
      </c>
      <c r="J46" s="3">
        <v>4208</v>
      </c>
      <c r="K46" s="3">
        <v>2475.2640000000001</v>
      </c>
    </row>
    <row r="47" spans="1:11" x14ac:dyDescent="0.3">
      <c r="A47" t="s">
        <v>13</v>
      </c>
      <c r="B47" t="s">
        <v>22</v>
      </c>
      <c r="C47" t="s">
        <v>23</v>
      </c>
      <c r="D47" s="1">
        <v>1909</v>
      </c>
      <c r="E47">
        <v>148</v>
      </c>
      <c r="F47" s="2">
        <v>282532</v>
      </c>
      <c r="G47" s="3">
        <v>187686.00760000001</v>
      </c>
      <c r="H47" s="3">
        <v>33536.5484</v>
      </c>
      <c r="I47" s="3">
        <v>6071</v>
      </c>
      <c r="J47" s="3">
        <v>1296</v>
      </c>
      <c r="K47" s="3">
        <v>16697.641199999998</v>
      </c>
    </row>
    <row r="48" spans="1:11" x14ac:dyDescent="0.3">
      <c r="A48" t="s">
        <v>13</v>
      </c>
      <c r="B48" t="s">
        <v>22</v>
      </c>
      <c r="C48" t="s">
        <v>29</v>
      </c>
      <c r="D48" s="1">
        <v>926</v>
      </c>
      <c r="E48">
        <v>40</v>
      </c>
      <c r="F48" s="2">
        <v>37040</v>
      </c>
      <c r="G48" s="3">
        <v>18979.295999999998</v>
      </c>
      <c r="H48" s="3">
        <v>3452.1280000000002</v>
      </c>
      <c r="I48" s="3">
        <v>6620</v>
      </c>
      <c r="J48" s="3">
        <v>1622</v>
      </c>
      <c r="K48" s="3">
        <v>851.92</v>
      </c>
    </row>
    <row r="49" spans="1:11" x14ac:dyDescent="0.3">
      <c r="A49" t="s">
        <v>13</v>
      </c>
      <c r="B49" t="s">
        <v>22</v>
      </c>
      <c r="C49" t="s">
        <v>24</v>
      </c>
      <c r="D49" s="1">
        <v>678</v>
      </c>
      <c r="E49">
        <v>29</v>
      </c>
      <c r="F49" s="2">
        <v>19662</v>
      </c>
      <c r="G49" s="3">
        <v>12619.071600000001</v>
      </c>
      <c r="H49" s="3">
        <v>2243.4341999999997</v>
      </c>
      <c r="I49" s="3">
        <v>11363</v>
      </c>
      <c r="J49" s="3">
        <v>1677</v>
      </c>
      <c r="K49" s="3">
        <v>843.49980000000005</v>
      </c>
    </row>
    <row r="50" spans="1:11" x14ac:dyDescent="0.3">
      <c r="A50" t="s">
        <v>13</v>
      </c>
      <c r="B50" t="s">
        <v>22</v>
      </c>
      <c r="C50" t="s">
        <v>25</v>
      </c>
      <c r="D50" s="1">
        <v>1719</v>
      </c>
      <c r="E50">
        <v>422</v>
      </c>
      <c r="F50" s="2">
        <v>725418</v>
      </c>
      <c r="G50" s="3">
        <v>454982.16959999996</v>
      </c>
      <c r="H50" s="3">
        <v>65287.619999999995</v>
      </c>
      <c r="I50" s="3">
        <v>6335</v>
      </c>
      <c r="J50" s="3">
        <v>1773</v>
      </c>
      <c r="K50" s="3">
        <v>37213.943399999996</v>
      </c>
    </row>
    <row r="51" spans="1:11" x14ac:dyDescent="0.3">
      <c r="A51" t="s">
        <v>13</v>
      </c>
      <c r="B51" t="s">
        <v>22</v>
      </c>
      <c r="C51" t="s">
        <v>26</v>
      </c>
      <c r="D51" s="1">
        <v>1983</v>
      </c>
      <c r="E51">
        <v>80</v>
      </c>
      <c r="F51" s="2">
        <v>158640</v>
      </c>
      <c r="G51" s="3">
        <v>99372.09599999999</v>
      </c>
      <c r="H51" s="3">
        <v>11136.528</v>
      </c>
      <c r="I51" s="3">
        <v>11180</v>
      </c>
      <c r="J51" s="3">
        <v>2196</v>
      </c>
      <c r="K51" s="3">
        <v>6060.0479999999998</v>
      </c>
    </row>
    <row r="52" spans="1:11" x14ac:dyDescent="0.3">
      <c r="A52" t="s">
        <v>13</v>
      </c>
      <c r="B52" t="s">
        <v>27</v>
      </c>
      <c r="C52" t="s">
        <v>23</v>
      </c>
      <c r="D52" s="1">
        <v>561</v>
      </c>
      <c r="E52">
        <v>246</v>
      </c>
      <c r="F52" s="2">
        <v>138006</v>
      </c>
      <c r="G52" s="3">
        <v>98011.861200000014</v>
      </c>
      <c r="H52" s="3">
        <v>9025.5923999999995</v>
      </c>
      <c r="I52" s="3">
        <v>18728</v>
      </c>
      <c r="J52" s="3">
        <v>10947</v>
      </c>
      <c r="K52" s="3">
        <v>4002.174</v>
      </c>
    </row>
    <row r="53" spans="1:11" x14ac:dyDescent="0.3">
      <c r="A53" t="s">
        <v>13</v>
      </c>
      <c r="B53" t="s">
        <v>27</v>
      </c>
      <c r="C53" t="s">
        <v>29</v>
      </c>
      <c r="D53" s="1">
        <v>1179</v>
      </c>
      <c r="E53">
        <v>37</v>
      </c>
      <c r="F53" s="2">
        <v>43623</v>
      </c>
      <c r="G53" s="3">
        <v>20790.721799999999</v>
      </c>
      <c r="H53" s="3">
        <v>2691.5391</v>
      </c>
      <c r="I53" s="3">
        <v>11374</v>
      </c>
      <c r="J53" s="3">
        <v>11413</v>
      </c>
      <c r="K53" s="3">
        <v>1984.8465000000001</v>
      </c>
    </row>
    <row r="54" spans="1:11" x14ac:dyDescent="0.3">
      <c r="A54" t="s">
        <v>13</v>
      </c>
      <c r="B54" t="s">
        <v>27</v>
      </c>
      <c r="C54" t="s">
        <v>24</v>
      </c>
      <c r="D54" s="1">
        <v>627</v>
      </c>
      <c r="E54">
        <v>71</v>
      </c>
      <c r="F54" s="2">
        <v>44517</v>
      </c>
      <c r="G54" s="3">
        <v>24800.420700000002</v>
      </c>
      <c r="H54" s="3">
        <v>1905.3275999999998</v>
      </c>
      <c r="I54" s="3">
        <v>19052</v>
      </c>
      <c r="J54" s="3">
        <v>13201</v>
      </c>
      <c r="K54" s="3">
        <v>1989.9099000000001</v>
      </c>
    </row>
    <row r="55" spans="1:11" x14ac:dyDescent="0.3">
      <c r="A55" t="s">
        <v>13</v>
      </c>
      <c r="B55" t="s">
        <v>27</v>
      </c>
      <c r="C55" t="s">
        <v>25</v>
      </c>
      <c r="D55" s="1">
        <v>1171</v>
      </c>
      <c r="E55">
        <v>226</v>
      </c>
      <c r="F55" s="2">
        <v>264646</v>
      </c>
      <c r="G55" s="3">
        <v>171675.86020000002</v>
      </c>
      <c r="H55" s="3">
        <v>18445.8262</v>
      </c>
      <c r="I55" s="3">
        <v>8121</v>
      </c>
      <c r="J55" s="3">
        <v>11173</v>
      </c>
      <c r="K55" s="3">
        <v>15031.8928</v>
      </c>
    </row>
    <row r="56" spans="1:11" x14ac:dyDescent="0.3">
      <c r="A56" t="s">
        <v>13</v>
      </c>
      <c r="B56" t="s">
        <v>27</v>
      </c>
      <c r="C56" t="s">
        <v>26</v>
      </c>
      <c r="D56" s="1">
        <v>482</v>
      </c>
      <c r="E56">
        <v>38</v>
      </c>
      <c r="F56" s="2">
        <v>18316</v>
      </c>
      <c r="G56" s="3">
        <v>9194.6319999999996</v>
      </c>
      <c r="H56" s="3">
        <v>1073.3176000000001</v>
      </c>
      <c r="I56" s="3">
        <v>19046</v>
      </c>
      <c r="J56" s="3">
        <v>9883</v>
      </c>
      <c r="K56" s="3">
        <v>849.86239999999998</v>
      </c>
    </row>
    <row r="57" spans="1:11" x14ac:dyDescent="0.3">
      <c r="A57" t="s">
        <v>13</v>
      </c>
      <c r="B57" t="s">
        <v>28</v>
      </c>
      <c r="C57" t="s">
        <v>23</v>
      </c>
      <c r="D57" s="1">
        <v>2976</v>
      </c>
      <c r="E57">
        <v>160</v>
      </c>
      <c r="F57" s="2">
        <v>476160</v>
      </c>
      <c r="G57" s="3">
        <v>281124.864</v>
      </c>
      <c r="H57" s="3">
        <v>23665.152000000002</v>
      </c>
      <c r="I57" s="3">
        <v>9450</v>
      </c>
      <c r="J57" s="3">
        <v>2253</v>
      </c>
      <c r="K57" s="3">
        <v>26379.263999999999</v>
      </c>
    </row>
    <row r="58" spans="1:11" x14ac:dyDescent="0.3">
      <c r="A58" t="s">
        <v>13</v>
      </c>
      <c r="B58" t="s">
        <v>28</v>
      </c>
      <c r="C58" t="s">
        <v>29</v>
      </c>
      <c r="D58" s="1">
        <v>2282</v>
      </c>
      <c r="E58">
        <v>54</v>
      </c>
      <c r="F58" s="2">
        <v>123228</v>
      </c>
      <c r="G58" s="3">
        <v>59383.573199999999</v>
      </c>
      <c r="H58" s="3">
        <v>5816.3616000000002</v>
      </c>
      <c r="I58" s="3">
        <v>12171</v>
      </c>
      <c r="J58" s="3">
        <v>5649</v>
      </c>
      <c r="K58" s="3">
        <v>2982.1176</v>
      </c>
    </row>
    <row r="59" spans="1:11" x14ac:dyDescent="0.3">
      <c r="A59" t="s">
        <v>13</v>
      </c>
      <c r="B59" t="s">
        <v>28</v>
      </c>
      <c r="C59" t="s">
        <v>24</v>
      </c>
      <c r="D59" s="1">
        <v>2949</v>
      </c>
      <c r="E59">
        <v>63</v>
      </c>
      <c r="F59" s="2">
        <v>185787</v>
      </c>
      <c r="G59" s="3">
        <v>107440.62210000001</v>
      </c>
      <c r="H59" s="3">
        <v>6836.9615999999996</v>
      </c>
      <c r="I59" s="3">
        <v>11973</v>
      </c>
      <c r="J59" s="3">
        <v>2685</v>
      </c>
      <c r="K59" s="3">
        <v>7412.9013000000004</v>
      </c>
    </row>
    <row r="60" spans="1:11" x14ac:dyDescent="0.3">
      <c r="A60" t="s">
        <v>13</v>
      </c>
      <c r="B60" t="s">
        <v>28</v>
      </c>
      <c r="C60" t="s">
        <v>25</v>
      </c>
      <c r="D60" s="1">
        <v>1205</v>
      </c>
      <c r="E60">
        <v>356</v>
      </c>
      <c r="F60" s="2">
        <v>428980</v>
      </c>
      <c r="G60" s="3">
        <v>294880.85200000001</v>
      </c>
      <c r="H60" s="3">
        <v>8751.1920000000009</v>
      </c>
      <c r="I60" s="3">
        <v>9710</v>
      </c>
      <c r="J60" s="3">
        <v>4944</v>
      </c>
      <c r="K60" s="3">
        <v>20676.835999999999</v>
      </c>
    </row>
    <row r="61" spans="1:11" x14ac:dyDescent="0.3">
      <c r="A61" t="s">
        <v>13</v>
      </c>
      <c r="B61" t="s">
        <v>28</v>
      </c>
      <c r="C61" t="s">
        <v>26</v>
      </c>
      <c r="D61" s="1">
        <v>3421</v>
      </c>
      <c r="E61">
        <v>62</v>
      </c>
      <c r="F61" s="2">
        <v>212102</v>
      </c>
      <c r="G61" s="3">
        <v>141047.83000000002</v>
      </c>
      <c r="H61" s="3">
        <v>9417.3288000000011</v>
      </c>
      <c r="I61" s="3">
        <v>13244</v>
      </c>
      <c r="J61" s="3">
        <v>5995</v>
      </c>
      <c r="K61" s="3">
        <v>5875.2254000000003</v>
      </c>
    </row>
    <row r="62" spans="1:11" x14ac:dyDescent="0.3">
      <c r="A62" t="s">
        <v>14</v>
      </c>
      <c r="B62" t="s">
        <v>22</v>
      </c>
      <c r="C62" t="s">
        <v>23</v>
      </c>
      <c r="D62" s="1">
        <v>1521</v>
      </c>
      <c r="E62">
        <v>223</v>
      </c>
      <c r="F62" s="2">
        <v>339183</v>
      </c>
      <c r="G62" s="3">
        <v>200389.31640000001</v>
      </c>
      <c r="H62" s="3">
        <v>21605.957100000003</v>
      </c>
      <c r="I62" s="3">
        <v>11053</v>
      </c>
      <c r="J62" s="3">
        <v>3085</v>
      </c>
      <c r="K62" s="3">
        <v>12515.852699999999</v>
      </c>
    </row>
    <row r="63" spans="1:11" x14ac:dyDescent="0.3">
      <c r="A63" t="s">
        <v>14</v>
      </c>
      <c r="B63" t="s">
        <v>22</v>
      </c>
      <c r="C63" t="s">
        <v>29</v>
      </c>
      <c r="D63" s="1">
        <v>703</v>
      </c>
      <c r="E63">
        <v>58</v>
      </c>
      <c r="F63" s="2">
        <v>40774</v>
      </c>
      <c r="G63" s="3">
        <v>20048.575800000002</v>
      </c>
      <c r="H63" s="3">
        <v>3176.2945999999997</v>
      </c>
      <c r="I63" s="3">
        <v>6595</v>
      </c>
      <c r="J63" s="3">
        <v>1578</v>
      </c>
      <c r="K63" s="3">
        <v>2389.3564000000001</v>
      </c>
    </row>
    <row r="64" spans="1:11" x14ac:dyDescent="0.3">
      <c r="A64" t="s">
        <v>14</v>
      </c>
      <c r="B64" t="s">
        <v>22</v>
      </c>
      <c r="C64" t="s">
        <v>24</v>
      </c>
      <c r="D64" s="1">
        <v>938</v>
      </c>
      <c r="E64">
        <v>76</v>
      </c>
      <c r="F64" s="2">
        <v>71288</v>
      </c>
      <c r="G64" s="3">
        <v>44205.688799999996</v>
      </c>
      <c r="H64" s="3">
        <v>6708.2008000000005</v>
      </c>
      <c r="I64" s="3">
        <v>9942</v>
      </c>
      <c r="J64" s="3">
        <v>2481</v>
      </c>
      <c r="K64" s="3">
        <v>2473.6936000000001</v>
      </c>
    </row>
    <row r="65" spans="1:11" x14ac:dyDescent="0.3">
      <c r="A65" t="s">
        <v>14</v>
      </c>
      <c r="B65" t="s">
        <v>22</v>
      </c>
      <c r="C65" t="s">
        <v>25</v>
      </c>
      <c r="D65" s="1">
        <v>1297</v>
      </c>
      <c r="E65">
        <v>363</v>
      </c>
      <c r="F65" s="2">
        <v>470811</v>
      </c>
      <c r="G65" s="3">
        <v>294209.79389999999</v>
      </c>
      <c r="H65" s="3">
        <v>33145.094400000002</v>
      </c>
      <c r="I65" s="3">
        <v>11638</v>
      </c>
      <c r="J65" s="3">
        <v>3137</v>
      </c>
      <c r="K65" s="3">
        <v>18032.061300000001</v>
      </c>
    </row>
    <row r="66" spans="1:11" x14ac:dyDescent="0.3">
      <c r="A66" t="s">
        <v>14</v>
      </c>
      <c r="B66" t="s">
        <v>22</v>
      </c>
      <c r="C66" t="s">
        <v>26</v>
      </c>
      <c r="D66" s="1">
        <v>1009</v>
      </c>
      <c r="E66">
        <v>42</v>
      </c>
      <c r="F66" s="2">
        <v>42378</v>
      </c>
      <c r="G66" s="3">
        <v>28215.272399999998</v>
      </c>
      <c r="H66" s="3">
        <v>5017.5551999999998</v>
      </c>
      <c r="I66" s="3">
        <v>4205</v>
      </c>
      <c r="J66" s="3">
        <v>3930</v>
      </c>
      <c r="K66" s="3">
        <v>2135.8512000000001</v>
      </c>
    </row>
    <row r="67" spans="1:11" x14ac:dyDescent="0.3">
      <c r="A67" t="s">
        <v>14</v>
      </c>
      <c r="B67" t="s">
        <v>27</v>
      </c>
      <c r="C67" t="s">
        <v>23</v>
      </c>
      <c r="D67" s="1">
        <v>688</v>
      </c>
      <c r="E67">
        <v>172</v>
      </c>
      <c r="F67" s="2">
        <v>118336</v>
      </c>
      <c r="G67" s="3">
        <v>72871.308799999999</v>
      </c>
      <c r="H67" s="3">
        <v>4532.2687999999998</v>
      </c>
      <c r="I67" s="3">
        <v>8219</v>
      </c>
      <c r="J67" s="3">
        <v>13727</v>
      </c>
      <c r="K67" s="3">
        <v>3124.0704000000001</v>
      </c>
    </row>
    <row r="68" spans="1:11" x14ac:dyDescent="0.3">
      <c r="A68" t="s">
        <v>14</v>
      </c>
      <c r="B68" t="s">
        <v>27</v>
      </c>
      <c r="C68" t="s">
        <v>29</v>
      </c>
      <c r="D68" s="1">
        <v>1237</v>
      </c>
      <c r="E68">
        <v>73</v>
      </c>
      <c r="F68" s="2">
        <v>90301</v>
      </c>
      <c r="G68" s="3">
        <v>42676.2526</v>
      </c>
      <c r="H68" s="3">
        <v>3557.8593999999998</v>
      </c>
      <c r="I68" s="3">
        <v>10435</v>
      </c>
      <c r="J68" s="3">
        <v>7507</v>
      </c>
      <c r="K68" s="3">
        <v>3467.5583999999999</v>
      </c>
    </row>
    <row r="69" spans="1:11" x14ac:dyDescent="0.3">
      <c r="A69" t="s">
        <v>14</v>
      </c>
      <c r="B69" t="s">
        <v>27</v>
      </c>
      <c r="C69" t="s">
        <v>24</v>
      </c>
      <c r="D69" s="1">
        <v>389</v>
      </c>
      <c r="E69">
        <v>63</v>
      </c>
      <c r="F69" s="2">
        <v>24507</v>
      </c>
      <c r="G69" s="3">
        <v>12777.949799999999</v>
      </c>
      <c r="H69" s="3">
        <v>963.12510000000009</v>
      </c>
      <c r="I69" s="3">
        <v>8302</v>
      </c>
      <c r="J69" s="3">
        <v>7192</v>
      </c>
      <c r="K69" s="3">
        <v>879.80129999999997</v>
      </c>
    </row>
    <row r="70" spans="1:11" x14ac:dyDescent="0.3">
      <c r="A70" t="s">
        <v>14</v>
      </c>
      <c r="B70" t="s">
        <v>27</v>
      </c>
      <c r="C70" t="s">
        <v>25</v>
      </c>
      <c r="D70" s="1">
        <v>941</v>
      </c>
      <c r="E70">
        <v>586</v>
      </c>
      <c r="F70" s="2">
        <v>551426</v>
      </c>
      <c r="G70" s="3">
        <v>356221.196</v>
      </c>
      <c r="H70" s="3">
        <v>20843.9028</v>
      </c>
      <c r="I70" s="3">
        <v>12677</v>
      </c>
      <c r="J70" s="3">
        <v>10339</v>
      </c>
      <c r="K70" s="3">
        <v>12076.2294</v>
      </c>
    </row>
    <row r="71" spans="1:11" x14ac:dyDescent="0.3">
      <c r="A71" t="s">
        <v>14</v>
      </c>
      <c r="B71" t="s">
        <v>27</v>
      </c>
      <c r="C71" t="s">
        <v>26</v>
      </c>
      <c r="D71" s="1">
        <v>879</v>
      </c>
      <c r="E71">
        <v>62</v>
      </c>
      <c r="F71" s="2">
        <v>54498</v>
      </c>
      <c r="G71" s="3">
        <v>33875.9568</v>
      </c>
      <c r="H71" s="3">
        <v>2343.4139999999998</v>
      </c>
      <c r="I71" s="3">
        <v>19713</v>
      </c>
      <c r="J71" s="3">
        <v>11320</v>
      </c>
      <c r="K71" s="3">
        <v>3149.9843999999998</v>
      </c>
    </row>
    <row r="72" spans="1:11" x14ac:dyDescent="0.3">
      <c r="A72" t="s">
        <v>14</v>
      </c>
      <c r="B72" t="s">
        <v>28</v>
      </c>
      <c r="C72" t="s">
        <v>23</v>
      </c>
      <c r="D72" s="1">
        <v>2936</v>
      </c>
      <c r="E72">
        <v>227</v>
      </c>
      <c r="F72" s="2">
        <v>666472</v>
      </c>
      <c r="G72" s="3">
        <v>443803.70480000001</v>
      </c>
      <c r="H72" s="3">
        <v>15195.561600000001</v>
      </c>
      <c r="I72" s="3">
        <v>13331</v>
      </c>
      <c r="J72" s="3">
        <v>4578</v>
      </c>
      <c r="K72" s="3">
        <v>39788.378400000001</v>
      </c>
    </row>
    <row r="73" spans="1:11" x14ac:dyDescent="0.3">
      <c r="A73" t="s">
        <v>14</v>
      </c>
      <c r="B73" t="s">
        <v>28</v>
      </c>
      <c r="C73" t="s">
        <v>29</v>
      </c>
      <c r="D73" s="1">
        <v>1994</v>
      </c>
      <c r="E73">
        <v>29</v>
      </c>
      <c r="F73" s="2">
        <v>57826</v>
      </c>
      <c r="G73" s="3">
        <v>31838.995599999998</v>
      </c>
      <c r="H73" s="3">
        <v>2498.0832</v>
      </c>
      <c r="I73" s="3">
        <v>11949</v>
      </c>
      <c r="J73" s="3">
        <v>5363</v>
      </c>
      <c r="K73" s="3">
        <v>2047.0404000000001</v>
      </c>
    </row>
    <row r="74" spans="1:11" x14ac:dyDescent="0.3">
      <c r="A74" t="s">
        <v>14</v>
      </c>
      <c r="B74" t="s">
        <v>28</v>
      </c>
      <c r="C74" t="s">
        <v>24</v>
      </c>
      <c r="D74" s="1">
        <v>1632</v>
      </c>
      <c r="E74">
        <v>55</v>
      </c>
      <c r="F74" s="2">
        <v>89760</v>
      </c>
      <c r="G74" s="3">
        <v>58137.552000000003</v>
      </c>
      <c r="H74" s="3">
        <v>2513.2800000000002</v>
      </c>
      <c r="I74" s="3">
        <v>12511</v>
      </c>
      <c r="J74" s="3">
        <v>4903</v>
      </c>
      <c r="K74" s="3">
        <v>4604.6880000000001</v>
      </c>
    </row>
    <row r="75" spans="1:11" x14ac:dyDescent="0.3">
      <c r="A75" t="s">
        <v>14</v>
      </c>
      <c r="B75" t="s">
        <v>28</v>
      </c>
      <c r="C75" t="s">
        <v>25</v>
      </c>
      <c r="D75" s="1">
        <v>3045</v>
      </c>
      <c r="E75">
        <v>458</v>
      </c>
      <c r="F75" s="2">
        <v>1394610</v>
      </c>
      <c r="G75" s="3">
        <v>919047.99</v>
      </c>
      <c r="H75" s="3">
        <v>59689.307999999997</v>
      </c>
      <c r="I75" s="3">
        <v>7188</v>
      </c>
      <c r="J75" s="3">
        <v>6695</v>
      </c>
      <c r="K75" s="3">
        <v>52018.953000000001</v>
      </c>
    </row>
    <row r="76" spans="1:11" x14ac:dyDescent="0.3">
      <c r="A76" t="s">
        <v>14</v>
      </c>
      <c r="B76" t="s">
        <v>28</v>
      </c>
      <c r="C76" t="s">
        <v>26</v>
      </c>
      <c r="D76" s="1">
        <v>2190</v>
      </c>
      <c r="E76">
        <v>48</v>
      </c>
      <c r="F76" s="2">
        <v>105120</v>
      </c>
      <c r="G76" s="3">
        <v>60391.44</v>
      </c>
      <c r="H76" s="3">
        <v>4888.08</v>
      </c>
      <c r="I76" s="3">
        <v>12913</v>
      </c>
      <c r="J76" s="3">
        <v>6750</v>
      </c>
      <c r="K76" s="3">
        <v>4110.192</v>
      </c>
    </row>
    <row r="77" spans="1:11" x14ac:dyDescent="0.3">
      <c r="A77" t="s">
        <v>15</v>
      </c>
      <c r="B77" t="s">
        <v>22</v>
      </c>
      <c r="C77" t="s">
        <v>23</v>
      </c>
      <c r="D77" s="1">
        <v>1333</v>
      </c>
      <c r="E77">
        <v>92</v>
      </c>
      <c r="F77" s="2">
        <v>122636</v>
      </c>
      <c r="G77" s="3">
        <v>77751.224000000002</v>
      </c>
      <c r="H77" s="3">
        <v>13772.022799999999</v>
      </c>
      <c r="I77" s="3">
        <v>11665</v>
      </c>
      <c r="J77" s="3">
        <v>3205</v>
      </c>
      <c r="K77" s="3">
        <v>6683.6620000000003</v>
      </c>
    </row>
    <row r="78" spans="1:11" x14ac:dyDescent="0.3">
      <c r="A78" t="s">
        <v>15</v>
      </c>
      <c r="B78" t="s">
        <v>22</v>
      </c>
      <c r="C78" t="s">
        <v>29</v>
      </c>
      <c r="D78" s="1">
        <v>1266</v>
      </c>
      <c r="E78">
        <v>40</v>
      </c>
      <c r="F78" s="2">
        <v>50640</v>
      </c>
      <c r="G78" s="3">
        <v>28201.415999999997</v>
      </c>
      <c r="H78" s="3">
        <v>4344.9120000000003</v>
      </c>
      <c r="I78" s="3">
        <v>10865</v>
      </c>
      <c r="J78" s="3">
        <v>1727</v>
      </c>
      <c r="K78" s="3">
        <v>1245.7439999999999</v>
      </c>
    </row>
    <row r="79" spans="1:11" x14ac:dyDescent="0.3">
      <c r="A79" t="s">
        <v>15</v>
      </c>
      <c r="B79" t="s">
        <v>22</v>
      </c>
      <c r="C79" t="s">
        <v>24</v>
      </c>
      <c r="D79" s="1">
        <v>1337</v>
      </c>
      <c r="E79">
        <v>31</v>
      </c>
      <c r="F79" s="2">
        <v>41447</v>
      </c>
      <c r="G79" s="3">
        <v>23297.358700000001</v>
      </c>
      <c r="H79" s="3">
        <v>4625.4852000000001</v>
      </c>
      <c r="I79" s="3">
        <v>5456</v>
      </c>
      <c r="J79" s="3">
        <v>2368</v>
      </c>
      <c r="K79" s="3">
        <v>2478.5306</v>
      </c>
    </row>
    <row r="80" spans="1:11" x14ac:dyDescent="0.3">
      <c r="A80" t="s">
        <v>15</v>
      </c>
      <c r="B80" t="s">
        <v>22</v>
      </c>
      <c r="C80" t="s">
        <v>25</v>
      </c>
      <c r="D80" s="1">
        <v>1668</v>
      </c>
      <c r="E80">
        <v>197</v>
      </c>
      <c r="F80" s="2">
        <v>328596</v>
      </c>
      <c r="G80" s="3">
        <v>236917.71599999999</v>
      </c>
      <c r="H80" s="3">
        <v>38281.434000000001</v>
      </c>
      <c r="I80" s="3">
        <v>10763</v>
      </c>
      <c r="J80" s="3">
        <v>3580</v>
      </c>
      <c r="K80" s="3">
        <v>12946.6824</v>
      </c>
    </row>
    <row r="81" spans="1:11" x14ac:dyDescent="0.3">
      <c r="A81" t="s">
        <v>15</v>
      </c>
      <c r="B81" t="s">
        <v>22</v>
      </c>
      <c r="C81" t="s">
        <v>26</v>
      </c>
      <c r="D81" s="1">
        <v>1700</v>
      </c>
      <c r="E81">
        <v>42</v>
      </c>
      <c r="F81" s="2">
        <v>71400</v>
      </c>
      <c r="G81" s="3">
        <v>37849.14</v>
      </c>
      <c r="H81" s="3">
        <v>8253.84</v>
      </c>
      <c r="I81" s="3">
        <v>8618</v>
      </c>
      <c r="J81" s="3">
        <v>3015</v>
      </c>
      <c r="K81" s="3">
        <v>2149.14</v>
      </c>
    </row>
    <row r="82" spans="1:11" x14ac:dyDescent="0.3">
      <c r="A82" t="s">
        <v>15</v>
      </c>
      <c r="B82" t="s">
        <v>27</v>
      </c>
      <c r="C82" t="s">
        <v>23</v>
      </c>
      <c r="D82" s="1">
        <v>1221</v>
      </c>
      <c r="E82">
        <v>108</v>
      </c>
      <c r="F82" s="2">
        <v>131868</v>
      </c>
      <c r="G82" s="3">
        <v>92202.10560000001</v>
      </c>
      <c r="H82" s="3">
        <v>7819.7723999999998</v>
      </c>
      <c r="I82" s="3">
        <v>9325</v>
      </c>
      <c r="J82" s="3">
        <v>9311</v>
      </c>
      <c r="K82" s="3">
        <v>6751.6415999999999</v>
      </c>
    </row>
    <row r="83" spans="1:11" x14ac:dyDescent="0.3">
      <c r="A83" t="s">
        <v>15</v>
      </c>
      <c r="B83" t="s">
        <v>27</v>
      </c>
      <c r="C83" t="s">
        <v>29</v>
      </c>
      <c r="D83" s="1">
        <v>411</v>
      </c>
      <c r="E83">
        <v>75</v>
      </c>
      <c r="F83" s="2">
        <v>30825</v>
      </c>
      <c r="G83" s="3">
        <v>17249.669999999998</v>
      </c>
      <c r="H83" s="3">
        <v>1852.5825</v>
      </c>
      <c r="I83" s="3">
        <v>11400</v>
      </c>
      <c r="J83" s="3">
        <v>15146</v>
      </c>
      <c r="K83" s="3">
        <v>1473.4349999999999</v>
      </c>
    </row>
    <row r="84" spans="1:11" x14ac:dyDescent="0.3">
      <c r="A84" t="s">
        <v>15</v>
      </c>
      <c r="B84" t="s">
        <v>27</v>
      </c>
      <c r="C84" t="s">
        <v>24</v>
      </c>
      <c r="D84" s="1">
        <v>1046</v>
      </c>
      <c r="E84">
        <v>30</v>
      </c>
      <c r="F84" s="2">
        <v>31380</v>
      </c>
      <c r="G84" s="3">
        <v>19138.662</v>
      </c>
      <c r="H84" s="3">
        <v>1584.69</v>
      </c>
      <c r="I84" s="3">
        <v>17067</v>
      </c>
      <c r="J84" s="3">
        <v>9234</v>
      </c>
      <c r="K84" s="3">
        <v>1032.402</v>
      </c>
    </row>
    <row r="85" spans="1:11" x14ac:dyDescent="0.3">
      <c r="A85" t="s">
        <v>15</v>
      </c>
      <c r="B85" t="s">
        <v>27</v>
      </c>
      <c r="C85" t="s">
        <v>25</v>
      </c>
      <c r="D85" s="1">
        <v>870</v>
      </c>
      <c r="E85">
        <v>174</v>
      </c>
      <c r="F85" s="2">
        <v>151380</v>
      </c>
      <c r="G85" s="3">
        <v>94385.430000000008</v>
      </c>
      <c r="H85" s="3">
        <v>7569</v>
      </c>
      <c r="I85" s="3">
        <v>19868</v>
      </c>
      <c r="J85" s="3">
        <v>14799</v>
      </c>
      <c r="K85" s="3">
        <v>7886.8980000000001</v>
      </c>
    </row>
    <row r="86" spans="1:11" x14ac:dyDescent="0.3">
      <c r="A86" t="s">
        <v>15</v>
      </c>
      <c r="B86" t="s">
        <v>27</v>
      </c>
      <c r="C86" t="s">
        <v>26</v>
      </c>
      <c r="D86" s="1">
        <v>840</v>
      </c>
      <c r="E86">
        <v>59</v>
      </c>
      <c r="F86" s="2">
        <v>49560</v>
      </c>
      <c r="G86" s="3">
        <v>29061.984</v>
      </c>
      <c r="H86" s="3">
        <v>2408.616</v>
      </c>
      <c r="I86" s="3">
        <v>19405</v>
      </c>
      <c r="J86" s="3">
        <v>13425</v>
      </c>
      <c r="K86" s="3">
        <v>1516.5360000000001</v>
      </c>
    </row>
    <row r="87" spans="1:11" x14ac:dyDescent="0.3">
      <c r="A87" t="s">
        <v>15</v>
      </c>
      <c r="B87" t="s">
        <v>28</v>
      </c>
      <c r="C87" t="s">
        <v>23</v>
      </c>
      <c r="D87" s="1">
        <v>1811</v>
      </c>
      <c r="E87">
        <v>195</v>
      </c>
      <c r="F87" s="2">
        <v>353145</v>
      </c>
      <c r="G87" s="3">
        <v>228802.64550000001</v>
      </c>
      <c r="H87" s="3">
        <v>13666.711499999999</v>
      </c>
      <c r="I87" s="3">
        <v>8589</v>
      </c>
      <c r="J87" s="3">
        <v>3258</v>
      </c>
      <c r="K87" s="3">
        <v>13278.252</v>
      </c>
    </row>
    <row r="88" spans="1:11" x14ac:dyDescent="0.3">
      <c r="A88" t="s">
        <v>15</v>
      </c>
      <c r="B88" t="s">
        <v>28</v>
      </c>
      <c r="C88" t="s">
        <v>29</v>
      </c>
      <c r="D88" s="1">
        <v>2426</v>
      </c>
      <c r="E88">
        <v>36</v>
      </c>
      <c r="F88" s="2">
        <v>87336</v>
      </c>
      <c r="G88" s="3">
        <v>48270.607199999999</v>
      </c>
      <c r="H88" s="3">
        <v>3021.8256000000001</v>
      </c>
      <c r="I88" s="3">
        <v>13551</v>
      </c>
      <c r="J88" s="3">
        <v>4851</v>
      </c>
      <c r="K88" s="3">
        <v>1746.72</v>
      </c>
    </row>
    <row r="89" spans="1:11" x14ac:dyDescent="0.3">
      <c r="A89" t="s">
        <v>15</v>
      </c>
      <c r="B89" t="s">
        <v>28</v>
      </c>
      <c r="C89" t="s">
        <v>24</v>
      </c>
      <c r="D89" s="1">
        <v>1364</v>
      </c>
      <c r="E89">
        <v>47</v>
      </c>
      <c r="F89" s="2">
        <v>64108</v>
      </c>
      <c r="G89" s="3">
        <v>37458.304400000001</v>
      </c>
      <c r="H89" s="3">
        <v>2993.8435999999997</v>
      </c>
      <c r="I89" s="3">
        <v>5676</v>
      </c>
      <c r="J89" s="3">
        <v>6463</v>
      </c>
      <c r="K89" s="3">
        <v>2807.9304000000002</v>
      </c>
    </row>
    <row r="90" spans="1:11" x14ac:dyDescent="0.3">
      <c r="A90" t="s">
        <v>15</v>
      </c>
      <c r="B90" t="s">
        <v>28</v>
      </c>
      <c r="C90" t="s">
        <v>25</v>
      </c>
      <c r="D90" s="1">
        <v>2892</v>
      </c>
      <c r="E90">
        <v>182</v>
      </c>
      <c r="F90" s="2">
        <v>526344</v>
      </c>
      <c r="G90" s="3">
        <v>334175.80560000002</v>
      </c>
      <c r="H90" s="3">
        <v>23001.232800000002</v>
      </c>
      <c r="I90" s="3">
        <v>13191</v>
      </c>
      <c r="J90" s="3">
        <v>4502</v>
      </c>
      <c r="K90" s="3">
        <v>29896.339199999999</v>
      </c>
    </row>
    <row r="91" spans="1:11" x14ac:dyDescent="0.3">
      <c r="A91" t="s">
        <v>15</v>
      </c>
      <c r="B91" t="s">
        <v>28</v>
      </c>
      <c r="C91" t="s">
        <v>26</v>
      </c>
      <c r="D91" s="1">
        <v>3307</v>
      </c>
      <c r="E91">
        <v>84</v>
      </c>
      <c r="F91" s="2">
        <v>277788</v>
      </c>
      <c r="G91" s="3">
        <v>178839.91440000001</v>
      </c>
      <c r="H91" s="3">
        <v>11250.414000000001</v>
      </c>
      <c r="I91" s="3">
        <v>7925</v>
      </c>
      <c r="J91" s="3">
        <v>6362</v>
      </c>
      <c r="K91" s="3">
        <v>13306.0452</v>
      </c>
    </row>
    <row r="92" spans="1:11" x14ac:dyDescent="0.3">
      <c r="A92" t="s">
        <v>16</v>
      </c>
      <c r="B92" t="s">
        <v>22</v>
      </c>
      <c r="C92" t="s">
        <v>23</v>
      </c>
      <c r="D92" s="1">
        <v>1490</v>
      </c>
      <c r="E92">
        <v>85</v>
      </c>
      <c r="F92" s="2">
        <v>126650</v>
      </c>
      <c r="G92" s="3">
        <v>89085.61</v>
      </c>
      <c r="H92" s="3">
        <v>13880.84</v>
      </c>
      <c r="I92" s="3">
        <v>6846</v>
      </c>
      <c r="J92" s="3">
        <v>2560</v>
      </c>
      <c r="K92" s="3">
        <v>2748.3049999999998</v>
      </c>
    </row>
    <row r="93" spans="1:11" x14ac:dyDescent="0.3">
      <c r="A93" t="s">
        <v>16</v>
      </c>
      <c r="B93" t="s">
        <v>22</v>
      </c>
      <c r="C93" t="s">
        <v>29</v>
      </c>
      <c r="D93" s="1">
        <v>1100</v>
      </c>
      <c r="E93">
        <v>42</v>
      </c>
      <c r="F93" s="2">
        <v>46200</v>
      </c>
      <c r="G93" s="3">
        <v>25118.94</v>
      </c>
      <c r="H93" s="3">
        <v>3908.5199999999995</v>
      </c>
      <c r="I93" s="3">
        <v>11442</v>
      </c>
      <c r="J93" s="3">
        <v>1249</v>
      </c>
      <c r="K93" s="3">
        <v>2346.96</v>
      </c>
    </row>
    <row r="94" spans="1:11" x14ac:dyDescent="0.3">
      <c r="A94" t="s">
        <v>16</v>
      </c>
      <c r="B94" t="s">
        <v>22</v>
      </c>
      <c r="C94" t="s">
        <v>24</v>
      </c>
      <c r="D94" s="1">
        <v>1960</v>
      </c>
      <c r="E94">
        <v>114</v>
      </c>
      <c r="F94" s="2">
        <v>223440</v>
      </c>
      <c r="G94" s="3">
        <v>136320.74400000001</v>
      </c>
      <c r="H94" s="3">
        <v>21204.455999999998</v>
      </c>
      <c r="I94" s="3">
        <v>7150</v>
      </c>
      <c r="J94" s="3">
        <v>3149</v>
      </c>
      <c r="K94" s="3">
        <v>6345.6959999999999</v>
      </c>
    </row>
    <row r="95" spans="1:11" x14ac:dyDescent="0.3">
      <c r="A95" t="s">
        <v>16</v>
      </c>
      <c r="B95" t="s">
        <v>22</v>
      </c>
      <c r="C95" t="s">
        <v>25</v>
      </c>
      <c r="D95" s="1">
        <v>2111</v>
      </c>
      <c r="E95">
        <v>301</v>
      </c>
      <c r="F95" s="2">
        <v>635411</v>
      </c>
      <c r="G95" s="3">
        <v>463087.5368</v>
      </c>
      <c r="H95" s="3">
        <v>58521.3531</v>
      </c>
      <c r="I95" s="3">
        <v>7883</v>
      </c>
      <c r="J95" s="3">
        <v>1658</v>
      </c>
      <c r="K95" s="3">
        <v>25035.1934</v>
      </c>
    </row>
    <row r="96" spans="1:11" x14ac:dyDescent="0.3">
      <c r="A96" t="s">
        <v>16</v>
      </c>
      <c r="B96" t="s">
        <v>22</v>
      </c>
      <c r="C96" t="s">
        <v>26</v>
      </c>
      <c r="D96" s="1">
        <v>601</v>
      </c>
      <c r="E96">
        <v>35</v>
      </c>
      <c r="F96" s="2">
        <v>21035</v>
      </c>
      <c r="G96" s="3">
        <v>14213.349499999998</v>
      </c>
      <c r="H96" s="3">
        <v>1533.4515000000001</v>
      </c>
      <c r="I96" s="3">
        <v>10644</v>
      </c>
      <c r="J96" s="3">
        <v>3747</v>
      </c>
      <c r="K96" s="3">
        <v>978.12750000000005</v>
      </c>
    </row>
    <row r="97" spans="1:11" x14ac:dyDescent="0.3">
      <c r="A97" t="s">
        <v>16</v>
      </c>
      <c r="B97" t="s">
        <v>27</v>
      </c>
      <c r="C97" t="s">
        <v>23</v>
      </c>
      <c r="D97" s="1">
        <v>856</v>
      </c>
      <c r="E97">
        <v>205</v>
      </c>
      <c r="F97" s="2">
        <v>175480</v>
      </c>
      <c r="G97" s="3">
        <v>110306.728</v>
      </c>
      <c r="H97" s="3">
        <v>9124.9599999999991</v>
      </c>
      <c r="I97" s="3">
        <v>17382</v>
      </c>
      <c r="J97" s="3">
        <v>11247</v>
      </c>
      <c r="K97" s="3">
        <v>9861.9760000000006</v>
      </c>
    </row>
    <row r="98" spans="1:11" x14ac:dyDescent="0.3">
      <c r="A98" t="s">
        <v>16</v>
      </c>
      <c r="B98" t="s">
        <v>27</v>
      </c>
      <c r="C98" t="s">
        <v>29</v>
      </c>
      <c r="D98" s="1">
        <v>985</v>
      </c>
      <c r="E98">
        <v>30</v>
      </c>
      <c r="F98" s="2">
        <v>29550</v>
      </c>
      <c r="G98" s="3">
        <v>14231.279999999999</v>
      </c>
      <c r="H98" s="3">
        <v>1669.575</v>
      </c>
      <c r="I98" s="3">
        <v>13203</v>
      </c>
      <c r="J98" s="3">
        <v>8856</v>
      </c>
      <c r="K98" s="3">
        <v>1075.6199999999999</v>
      </c>
    </row>
    <row r="99" spans="1:11" x14ac:dyDescent="0.3">
      <c r="A99" t="s">
        <v>16</v>
      </c>
      <c r="B99" t="s">
        <v>27</v>
      </c>
      <c r="C99" t="s">
        <v>24</v>
      </c>
      <c r="D99" s="1">
        <v>991</v>
      </c>
      <c r="E99">
        <v>118</v>
      </c>
      <c r="F99" s="2">
        <v>116938</v>
      </c>
      <c r="G99" s="3">
        <v>74360.874200000006</v>
      </c>
      <c r="H99" s="3">
        <v>4888.0083999999997</v>
      </c>
      <c r="I99" s="3">
        <v>16768</v>
      </c>
      <c r="J99" s="3">
        <v>14128</v>
      </c>
      <c r="K99" s="3">
        <v>4069.4423999999999</v>
      </c>
    </row>
    <row r="100" spans="1:11" x14ac:dyDescent="0.3">
      <c r="A100" t="s">
        <v>16</v>
      </c>
      <c r="B100" t="s">
        <v>27</v>
      </c>
      <c r="C100" t="s">
        <v>25</v>
      </c>
      <c r="D100" s="1">
        <v>1074</v>
      </c>
      <c r="E100">
        <v>543</v>
      </c>
      <c r="F100" s="2">
        <v>583182</v>
      </c>
      <c r="G100" s="3">
        <v>443160.00180000003</v>
      </c>
      <c r="H100" s="3">
        <v>38431.693800000001</v>
      </c>
      <c r="I100" s="3">
        <v>17973</v>
      </c>
      <c r="J100" s="3">
        <v>9597</v>
      </c>
      <c r="K100" s="3">
        <v>33591.283199999998</v>
      </c>
    </row>
    <row r="101" spans="1:11" x14ac:dyDescent="0.3">
      <c r="A101" t="s">
        <v>16</v>
      </c>
      <c r="B101" t="s">
        <v>27</v>
      </c>
      <c r="C101" t="s">
        <v>26</v>
      </c>
      <c r="D101" s="1">
        <v>1124</v>
      </c>
      <c r="E101">
        <v>47</v>
      </c>
      <c r="F101" s="2">
        <v>52828</v>
      </c>
      <c r="G101" s="3">
        <v>25933.265200000002</v>
      </c>
      <c r="H101" s="3">
        <v>2340.2804000000001</v>
      </c>
      <c r="I101" s="3">
        <v>11786</v>
      </c>
      <c r="J101" s="3">
        <v>12036</v>
      </c>
      <c r="K101" s="3">
        <v>2313.8663999999999</v>
      </c>
    </row>
    <row r="102" spans="1:11" x14ac:dyDescent="0.3">
      <c r="A102" t="s">
        <v>16</v>
      </c>
      <c r="B102" t="s">
        <v>28</v>
      </c>
      <c r="C102" t="s">
        <v>23</v>
      </c>
      <c r="D102" s="1">
        <v>1110</v>
      </c>
      <c r="E102">
        <v>235</v>
      </c>
      <c r="F102" s="2">
        <v>260850</v>
      </c>
      <c r="G102" s="3">
        <v>175604.22</v>
      </c>
      <c r="H102" s="3">
        <v>5660.4449999999997</v>
      </c>
      <c r="I102" s="3">
        <v>10504</v>
      </c>
      <c r="J102" s="3">
        <v>2734</v>
      </c>
      <c r="K102" s="3">
        <v>5556.1049999999996</v>
      </c>
    </row>
    <row r="103" spans="1:11" x14ac:dyDescent="0.3">
      <c r="A103" t="s">
        <v>16</v>
      </c>
      <c r="B103" t="s">
        <v>28</v>
      </c>
      <c r="C103" t="s">
        <v>29</v>
      </c>
      <c r="D103" s="1">
        <v>3183</v>
      </c>
      <c r="E103">
        <v>22</v>
      </c>
      <c r="F103" s="2">
        <v>70026</v>
      </c>
      <c r="G103" s="3">
        <v>36112.408200000005</v>
      </c>
      <c r="H103" s="3">
        <v>2731.0140000000001</v>
      </c>
      <c r="I103" s="3">
        <v>5293</v>
      </c>
      <c r="J103" s="3">
        <v>3355</v>
      </c>
      <c r="K103" s="3">
        <v>3284.2194</v>
      </c>
    </row>
    <row r="104" spans="1:11" x14ac:dyDescent="0.3">
      <c r="A104" t="s">
        <v>16</v>
      </c>
      <c r="B104" t="s">
        <v>28</v>
      </c>
      <c r="C104" t="s">
        <v>24</v>
      </c>
      <c r="D104" s="1">
        <v>2123</v>
      </c>
      <c r="E104">
        <v>25</v>
      </c>
      <c r="F104" s="2">
        <v>53075</v>
      </c>
      <c r="G104" s="3">
        <v>29196.557500000003</v>
      </c>
      <c r="H104" s="3">
        <v>1210.1100000000001</v>
      </c>
      <c r="I104" s="3">
        <v>8532</v>
      </c>
      <c r="J104" s="3">
        <v>3810</v>
      </c>
      <c r="K104" s="3">
        <v>2473.2950000000001</v>
      </c>
    </row>
    <row r="105" spans="1:11" x14ac:dyDescent="0.3">
      <c r="A105" t="s">
        <v>16</v>
      </c>
      <c r="B105" t="s">
        <v>28</v>
      </c>
      <c r="C105" t="s">
        <v>25</v>
      </c>
      <c r="D105" s="1">
        <v>2480</v>
      </c>
      <c r="E105">
        <v>450</v>
      </c>
      <c r="F105" s="2">
        <v>1116000</v>
      </c>
      <c r="G105" s="3">
        <v>783878.4</v>
      </c>
      <c r="H105" s="3">
        <v>50666.400000000001</v>
      </c>
      <c r="I105" s="3">
        <v>12789</v>
      </c>
      <c r="J105" s="3">
        <v>4164</v>
      </c>
      <c r="K105" s="3">
        <v>26226</v>
      </c>
    </row>
    <row r="106" spans="1:11" x14ac:dyDescent="0.3">
      <c r="A106" t="s">
        <v>16</v>
      </c>
      <c r="B106" t="s">
        <v>28</v>
      </c>
      <c r="C106" t="s">
        <v>26</v>
      </c>
      <c r="D106" s="1">
        <v>2896</v>
      </c>
      <c r="E106">
        <v>25</v>
      </c>
      <c r="F106" s="2">
        <v>72400</v>
      </c>
      <c r="G106" s="3">
        <v>47356.840000000004</v>
      </c>
      <c r="H106" s="3">
        <v>2367.48</v>
      </c>
      <c r="I106" s="3">
        <v>11192</v>
      </c>
      <c r="J106" s="3">
        <v>2011</v>
      </c>
      <c r="K106" s="3">
        <v>4322.28</v>
      </c>
    </row>
    <row r="107" spans="1:11" x14ac:dyDescent="0.3">
      <c r="A107" t="s">
        <v>17</v>
      </c>
      <c r="B107" t="s">
        <v>22</v>
      </c>
      <c r="C107" t="s">
        <v>23</v>
      </c>
      <c r="D107" s="1">
        <v>1769</v>
      </c>
      <c r="E107">
        <v>247</v>
      </c>
      <c r="F107" s="2">
        <v>436943</v>
      </c>
      <c r="G107" s="3">
        <v>257971.14720000001</v>
      </c>
      <c r="H107" s="3">
        <v>29799.512599999998</v>
      </c>
      <c r="I107" s="3">
        <v>4158</v>
      </c>
      <c r="J107" s="3">
        <v>3629</v>
      </c>
      <c r="K107" s="3">
        <v>23551.227699999999</v>
      </c>
    </row>
    <row r="108" spans="1:11" x14ac:dyDescent="0.3">
      <c r="A108" t="s">
        <v>17</v>
      </c>
      <c r="B108" t="s">
        <v>22</v>
      </c>
      <c r="C108" t="s">
        <v>29</v>
      </c>
      <c r="D108" s="1">
        <v>1902</v>
      </c>
      <c r="E108">
        <v>23</v>
      </c>
      <c r="F108" s="2">
        <v>43746</v>
      </c>
      <c r="G108" s="3">
        <v>20875.591199999999</v>
      </c>
      <c r="H108" s="3">
        <v>3022.8485999999998</v>
      </c>
      <c r="I108" s="3">
        <v>9094</v>
      </c>
      <c r="J108" s="3">
        <v>3528</v>
      </c>
      <c r="K108" s="3">
        <v>2336.0364</v>
      </c>
    </row>
    <row r="109" spans="1:11" x14ac:dyDescent="0.3">
      <c r="A109" t="s">
        <v>17</v>
      </c>
      <c r="B109" t="s">
        <v>22</v>
      </c>
      <c r="C109" t="s">
        <v>24</v>
      </c>
      <c r="D109" s="1">
        <v>1631</v>
      </c>
      <c r="E109">
        <v>113</v>
      </c>
      <c r="F109" s="2">
        <v>184303</v>
      </c>
      <c r="G109" s="3">
        <v>114876.05989999999</v>
      </c>
      <c r="H109" s="3">
        <v>18596.172699999999</v>
      </c>
      <c r="I109" s="3">
        <v>8867</v>
      </c>
      <c r="J109" s="3">
        <v>2059</v>
      </c>
      <c r="K109" s="3">
        <v>7630.1441999999997</v>
      </c>
    </row>
    <row r="110" spans="1:11" x14ac:dyDescent="0.3">
      <c r="A110" t="s">
        <v>17</v>
      </c>
      <c r="B110" t="s">
        <v>22</v>
      </c>
      <c r="C110" t="s">
        <v>25</v>
      </c>
      <c r="D110" s="1">
        <v>1351</v>
      </c>
      <c r="E110">
        <v>289</v>
      </c>
      <c r="F110" s="2">
        <v>390439</v>
      </c>
      <c r="G110" s="3">
        <v>259876.19839999999</v>
      </c>
      <c r="H110" s="3">
        <v>32757.8321</v>
      </c>
      <c r="I110" s="3">
        <v>6377</v>
      </c>
      <c r="J110" s="3">
        <v>3873</v>
      </c>
      <c r="K110" s="3">
        <v>22918.7693</v>
      </c>
    </row>
    <row r="111" spans="1:11" x14ac:dyDescent="0.3">
      <c r="A111" t="s">
        <v>17</v>
      </c>
      <c r="B111" t="s">
        <v>22</v>
      </c>
      <c r="C111" t="s">
        <v>26</v>
      </c>
      <c r="D111" s="1">
        <v>1683</v>
      </c>
      <c r="E111">
        <v>31</v>
      </c>
      <c r="F111" s="2">
        <v>52173</v>
      </c>
      <c r="G111" s="3">
        <v>34298.530200000001</v>
      </c>
      <c r="H111" s="3">
        <v>4528.6163999999999</v>
      </c>
      <c r="I111" s="3">
        <v>8321</v>
      </c>
      <c r="J111" s="3">
        <v>2535</v>
      </c>
      <c r="K111" s="3">
        <v>1820.8377</v>
      </c>
    </row>
    <row r="112" spans="1:11" x14ac:dyDescent="0.3">
      <c r="A112" t="s">
        <v>17</v>
      </c>
      <c r="B112" t="s">
        <v>27</v>
      </c>
      <c r="C112" t="s">
        <v>23</v>
      </c>
      <c r="D112" s="1">
        <v>764</v>
      </c>
      <c r="E112">
        <v>123</v>
      </c>
      <c r="F112" s="2">
        <v>93972</v>
      </c>
      <c r="G112" s="3">
        <v>60132.682800000002</v>
      </c>
      <c r="H112" s="3">
        <v>2903.7348000000002</v>
      </c>
      <c r="I112" s="3">
        <v>17343</v>
      </c>
      <c r="J112" s="3">
        <v>9822</v>
      </c>
      <c r="K112" s="3">
        <v>2612.4216000000001</v>
      </c>
    </row>
    <row r="113" spans="1:11" x14ac:dyDescent="0.3">
      <c r="A113" t="s">
        <v>17</v>
      </c>
      <c r="B113" t="s">
        <v>27</v>
      </c>
      <c r="C113" t="s">
        <v>29</v>
      </c>
      <c r="D113" s="1">
        <v>1205</v>
      </c>
      <c r="E113">
        <v>71</v>
      </c>
      <c r="F113" s="2">
        <v>85555</v>
      </c>
      <c r="G113" s="3">
        <v>43992.381000000001</v>
      </c>
      <c r="H113" s="3">
        <v>5749.2959999999994</v>
      </c>
      <c r="I113" s="3">
        <v>17305</v>
      </c>
      <c r="J113" s="3">
        <v>13198</v>
      </c>
      <c r="K113" s="3">
        <v>5116.1890000000003</v>
      </c>
    </row>
    <row r="114" spans="1:11" x14ac:dyDescent="0.3">
      <c r="A114" t="s">
        <v>17</v>
      </c>
      <c r="B114" t="s">
        <v>27</v>
      </c>
      <c r="C114" t="s">
        <v>24</v>
      </c>
      <c r="D114" s="1">
        <v>1028</v>
      </c>
      <c r="E114">
        <v>33</v>
      </c>
      <c r="F114" s="2">
        <v>33924</v>
      </c>
      <c r="G114" s="3">
        <v>18980.477999999999</v>
      </c>
      <c r="H114" s="3">
        <v>1316.2511999999999</v>
      </c>
      <c r="I114" s="3">
        <v>17190</v>
      </c>
      <c r="J114" s="3">
        <v>6202</v>
      </c>
      <c r="K114" s="3">
        <v>1546.9344000000001</v>
      </c>
    </row>
    <row r="115" spans="1:11" x14ac:dyDescent="0.3">
      <c r="A115" t="s">
        <v>17</v>
      </c>
      <c r="B115" t="s">
        <v>27</v>
      </c>
      <c r="C115" t="s">
        <v>25</v>
      </c>
      <c r="D115" s="1">
        <v>609</v>
      </c>
      <c r="E115">
        <v>588</v>
      </c>
      <c r="F115" s="2">
        <v>358092</v>
      </c>
      <c r="G115" s="3">
        <v>255964.16159999999</v>
      </c>
      <c r="H115" s="3">
        <v>14466.916799999999</v>
      </c>
      <c r="I115" s="3">
        <v>13333</v>
      </c>
      <c r="J115" s="3">
        <v>10522</v>
      </c>
      <c r="K115" s="3">
        <v>20876.763599999998</v>
      </c>
    </row>
    <row r="116" spans="1:11" x14ac:dyDescent="0.3">
      <c r="A116" t="s">
        <v>17</v>
      </c>
      <c r="B116" t="s">
        <v>27</v>
      </c>
      <c r="C116" t="s">
        <v>26</v>
      </c>
      <c r="D116" s="1">
        <v>754</v>
      </c>
      <c r="E116">
        <v>52</v>
      </c>
      <c r="F116" s="2">
        <v>39208</v>
      </c>
      <c r="G116" s="3">
        <v>19854.931199999999</v>
      </c>
      <c r="H116" s="3">
        <v>2646.54</v>
      </c>
      <c r="I116" s="3">
        <v>18044</v>
      </c>
      <c r="J116" s="3">
        <v>8694</v>
      </c>
      <c r="K116" s="3">
        <v>2242.6976</v>
      </c>
    </row>
    <row r="117" spans="1:11" x14ac:dyDescent="0.3">
      <c r="A117" t="s">
        <v>17</v>
      </c>
      <c r="B117" t="s">
        <v>28</v>
      </c>
      <c r="C117" t="s">
        <v>23</v>
      </c>
      <c r="D117" s="1">
        <v>2596</v>
      </c>
      <c r="E117">
        <v>175</v>
      </c>
      <c r="F117" s="2">
        <v>454300</v>
      </c>
      <c r="G117" s="3">
        <v>316510.81</v>
      </c>
      <c r="H117" s="3">
        <v>10403.469999999999</v>
      </c>
      <c r="I117" s="3">
        <v>7599</v>
      </c>
      <c r="J117" s="3">
        <v>2194</v>
      </c>
      <c r="K117" s="3">
        <v>17626.84</v>
      </c>
    </row>
    <row r="118" spans="1:11" x14ac:dyDescent="0.3">
      <c r="A118" t="s">
        <v>17</v>
      </c>
      <c r="B118" t="s">
        <v>28</v>
      </c>
      <c r="C118" t="s">
        <v>29</v>
      </c>
      <c r="D118" s="1">
        <v>2268</v>
      </c>
      <c r="E118">
        <v>62</v>
      </c>
      <c r="F118" s="2">
        <v>140616</v>
      </c>
      <c r="G118" s="3">
        <v>82246.2984</v>
      </c>
      <c r="H118" s="3">
        <v>6510.5208000000002</v>
      </c>
      <c r="I118" s="3">
        <v>5724</v>
      </c>
      <c r="J118" s="3">
        <v>4834</v>
      </c>
      <c r="K118" s="3">
        <v>3923.1864</v>
      </c>
    </row>
    <row r="119" spans="1:11" x14ac:dyDescent="0.3">
      <c r="A119" t="s">
        <v>17</v>
      </c>
      <c r="B119" t="s">
        <v>28</v>
      </c>
      <c r="C119" t="s">
        <v>24</v>
      </c>
      <c r="D119" s="1">
        <v>1431</v>
      </c>
      <c r="E119">
        <v>47</v>
      </c>
      <c r="F119" s="2">
        <v>67257</v>
      </c>
      <c r="G119" s="3">
        <v>40865.353200000005</v>
      </c>
      <c r="H119" s="3">
        <v>2206.0296000000003</v>
      </c>
      <c r="I119" s="3">
        <v>7869</v>
      </c>
      <c r="J119" s="3">
        <v>6917</v>
      </c>
      <c r="K119" s="3">
        <v>1446.0255</v>
      </c>
    </row>
    <row r="120" spans="1:11" x14ac:dyDescent="0.3">
      <c r="A120" t="s">
        <v>17</v>
      </c>
      <c r="B120" t="s">
        <v>28</v>
      </c>
      <c r="C120" t="s">
        <v>25</v>
      </c>
      <c r="D120" s="1">
        <v>1308</v>
      </c>
      <c r="E120">
        <v>345</v>
      </c>
      <c r="F120" s="2">
        <v>451260</v>
      </c>
      <c r="G120" s="3">
        <v>305187.13799999998</v>
      </c>
      <c r="H120" s="3">
        <v>11281.5</v>
      </c>
      <c r="I120" s="3">
        <v>10503</v>
      </c>
      <c r="J120" s="3">
        <v>3898</v>
      </c>
      <c r="K120" s="3">
        <v>18321.155999999999</v>
      </c>
    </row>
    <row r="121" spans="1:11" x14ac:dyDescent="0.3">
      <c r="A121" t="s">
        <v>17</v>
      </c>
      <c r="B121" t="s">
        <v>28</v>
      </c>
      <c r="C121" t="s">
        <v>26</v>
      </c>
      <c r="D121" s="1">
        <v>1016</v>
      </c>
      <c r="E121">
        <v>61</v>
      </c>
      <c r="F121" s="2">
        <v>61976</v>
      </c>
      <c r="G121" s="3">
        <v>35419.284</v>
      </c>
      <c r="H121" s="3">
        <v>2590.5967999999998</v>
      </c>
      <c r="I121" s="3">
        <v>12285</v>
      </c>
      <c r="J121" s="3">
        <v>2454</v>
      </c>
      <c r="K121" s="3">
        <v>3545.0272</v>
      </c>
    </row>
    <row r="122" spans="1:11" x14ac:dyDescent="0.3">
      <c r="A122" t="s">
        <v>18</v>
      </c>
      <c r="B122" t="s">
        <v>22</v>
      </c>
      <c r="C122" t="s">
        <v>23</v>
      </c>
      <c r="D122" s="1">
        <v>2049</v>
      </c>
      <c r="E122">
        <v>239</v>
      </c>
      <c r="F122" s="2">
        <v>489711</v>
      </c>
      <c r="G122" s="3">
        <v>308322.04560000001</v>
      </c>
      <c r="H122" s="3">
        <v>45836.9496</v>
      </c>
      <c r="I122" s="3">
        <v>5935</v>
      </c>
      <c r="J122" s="3">
        <v>2244</v>
      </c>
      <c r="K122" s="3">
        <v>18511.075799999999</v>
      </c>
    </row>
    <row r="123" spans="1:11" x14ac:dyDescent="0.3">
      <c r="A123" t="s">
        <v>18</v>
      </c>
      <c r="B123" t="s">
        <v>22</v>
      </c>
      <c r="C123" t="s">
        <v>29</v>
      </c>
      <c r="D123" s="1">
        <v>920</v>
      </c>
      <c r="E123">
        <v>31</v>
      </c>
      <c r="F123" s="2">
        <v>28520</v>
      </c>
      <c r="G123" s="3">
        <v>16205.064</v>
      </c>
      <c r="H123" s="3">
        <v>2903.3360000000002</v>
      </c>
      <c r="I123" s="3">
        <v>4137</v>
      </c>
      <c r="J123" s="3">
        <v>2936</v>
      </c>
      <c r="K123" s="3">
        <v>715.85199999999998</v>
      </c>
    </row>
    <row r="124" spans="1:11" x14ac:dyDescent="0.3">
      <c r="A124" t="s">
        <v>18</v>
      </c>
      <c r="B124" t="s">
        <v>22</v>
      </c>
      <c r="C124" t="s">
        <v>24</v>
      </c>
      <c r="D124" s="1">
        <v>1002</v>
      </c>
      <c r="E124">
        <v>42</v>
      </c>
      <c r="F124" s="2">
        <v>42084</v>
      </c>
      <c r="G124" s="3">
        <v>23352.411599999999</v>
      </c>
      <c r="H124" s="3">
        <v>3257.3015999999998</v>
      </c>
      <c r="I124" s="3">
        <v>8841</v>
      </c>
      <c r="J124" s="3">
        <v>2908</v>
      </c>
      <c r="K124" s="3">
        <v>1973.7396000000001</v>
      </c>
    </row>
    <row r="125" spans="1:11" x14ac:dyDescent="0.3">
      <c r="A125" t="s">
        <v>18</v>
      </c>
      <c r="B125" t="s">
        <v>22</v>
      </c>
      <c r="C125" t="s">
        <v>25</v>
      </c>
      <c r="D125" s="1">
        <v>1905</v>
      </c>
      <c r="E125">
        <v>418</v>
      </c>
      <c r="F125" s="2">
        <v>796290</v>
      </c>
      <c r="G125" s="3">
        <v>520056.99900000001</v>
      </c>
      <c r="H125" s="3">
        <v>94439.993999999992</v>
      </c>
      <c r="I125" s="3">
        <v>9552</v>
      </c>
      <c r="J125" s="3">
        <v>3023</v>
      </c>
      <c r="K125" s="3">
        <v>37346.000999999997</v>
      </c>
    </row>
    <row r="126" spans="1:11" x14ac:dyDescent="0.3">
      <c r="A126" t="s">
        <v>18</v>
      </c>
      <c r="B126" t="s">
        <v>22</v>
      </c>
      <c r="C126" t="s">
        <v>26</v>
      </c>
      <c r="D126" s="1">
        <v>1726</v>
      </c>
      <c r="E126">
        <v>16</v>
      </c>
      <c r="F126" s="2">
        <v>27616</v>
      </c>
      <c r="G126" s="3">
        <v>17710.140800000001</v>
      </c>
      <c r="H126" s="3">
        <v>3228.3104000000003</v>
      </c>
      <c r="I126" s="3">
        <v>5992</v>
      </c>
      <c r="J126" s="3">
        <v>2153</v>
      </c>
      <c r="K126" s="3">
        <v>1607.2511999999999</v>
      </c>
    </row>
    <row r="127" spans="1:11" x14ac:dyDescent="0.3">
      <c r="A127" t="s">
        <v>18</v>
      </c>
      <c r="B127" t="s">
        <v>27</v>
      </c>
      <c r="C127" t="s">
        <v>23</v>
      </c>
      <c r="D127" s="1">
        <v>917</v>
      </c>
      <c r="E127">
        <v>196</v>
      </c>
      <c r="F127" s="2">
        <v>179732</v>
      </c>
      <c r="G127" s="3">
        <v>119018.5304</v>
      </c>
      <c r="H127" s="3">
        <v>7404.9584000000004</v>
      </c>
      <c r="I127" s="3">
        <v>9739</v>
      </c>
      <c r="J127" s="3">
        <v>8779</v>
      </c>
      <c r="K127" s="3">
        <v>9076.4660000000003</v>
      </c>
    </row>
    <row r="128" spans="1:11" x14ac:dyDescent="0.3">
      <c r="A128" t="s">
        <v>18</v>
      </c>
      <c r="B128" t="s">
        <v>27</v>
      </c>
      <c r="C128" t="s">
        <v>29</v>
      </c>
      <c r="D128" s="1">
        <v>638</v>
      </c>
      <c r="E128">
        <v>62</v>
      </c>
      <c r="F128" s="2">
        <v>39556</v>
      </c>
      <c r="G128" s="3">
        <v>21554.064400000003</v>
      </c>
      <c r="H128" s="3">
        <v>2377.3155999999999</v>
      </c>
      <c r="I128" s="3">
        <v>17718</v>
      </c>
      <c r="J128" s="3">
        <v>7524</v>
      </c>
      <c r="K128" s="3">
        <v>1075.9232</v>
      </c>
    </row>
    <row r="129" spans="1:11" x14ac:dyDescent="0.3">
      <c r="A129" t="s">
        <v>18</v>
      </c>
      <c r="B129" t="s">
        <v>27</v>
      </c>
      <c r="C129" t="s">
        <v>24</v>
      </c>
      <c r="D129" s="1">
        <v>738</v>
      </c>
      <c r="E129">
        <v>41</v>
      </c>
      <c r="F129" s="2">
        <v>30258</v>
      </c>
      <c r="G129" s="3">
        <v>18215.315999999999</v>
      </c>
      <c r="H129" s="3">
        <v>1558.2869999999998</v>
      </c>
      <c r="I129" s="3">
        <v>12476</v>
      </c>
      <c r="J129" s="3">
        <v>13680</v>
      </c>
      <c r="K129" s="3">
        <v>1624.8545999999999</v>
      </c>
    </row>
    <row r="130" spans="1:11" x14ac:dyDescent="0.3">
      <c r="A130" t="s">
        <v>18</v>
      </c>
      <c r="B130" t="s">
        <v>27</v>
      </c>
      <c r="C130" t="s">
        <v>25</v>
      </c>
      <c r="D130" s="1">
        <v>1378</v>
      </c>
      <c r="E130">
        <v>409</v>
      </c>
      <c r="F130" s="2">
        <v>563602</v>
      </c>
      <c r="G130" s="3">
        <v>425519.51</v>
      </c>
      <c r="H130" s="3">
        <v>24573.047200000001</v>
      </c>
      <c r="I130" s="3">
        <v>11607</v>
      </c>
      <c r="J130" s="3">
        <v>6590</v>
      </c>
      <c r="K130" s="3">
        <v>29250.943800000001</v>
      </c>
    </row>
    <row r="131" spans="1:11" x14ac:dyDescent="0.3">
      <c r="A131" t="s">
        <v>18</v>
      </c>
      <c r="B131" t="s">
        <v>27</v>
      </c>
      <c r="C131" t="s">
        <v>26</v>
      </c>
      <c r="D131" s="1">
        <v>712</v>
      </c>
      <c r="E131">
        <v>33</v>
      </c>
      <c r="F131" s="2">
        <v>23496</v>
      </c>
      <c r="G131" s="3">
        <v>14966.952000000001</v>
      </c>
      <c r="H131" s="3">
        <v>953.93759999999997</v>
      </c>
      <c r="I131" s="3">
        <v>13880</v>
      </c>
      <c r="J131" s="3">
        <v>14756</v>
      </c>
      <c r="K131" s="3">
        <v>474.61919999999998</v>
      </c>
    </row>
    <row r="132" spans="1:11" x14ac:dyDescent="0.3">
      <c r="A132" t="s">
        <v>18</v>
      </c>
      <c r="B132" t="s">
        <v>28</v>
      </c>
      <c r="C132" t="s">
        <v>23</v>
      </c>
      <c r="D132" s="1">
        <v>2738</v>
      </c>
      <c r="E132">
        <v>83</v>
      </c>
      <c r="F132" s="2">
        <v>227254</v>
      </c>
      <c r="G132" s="3">
        <v>153669.15480000002</v>
      </c>
      <c r="H132" s="3">
        <v>11021.819</v>
      </c>
      <c r="I132" s="3">
        <v>5532</v>
      </c>
      <c r="J132" s="3">
        <v>3014</v>
      </c>
      <c r="K132" s="3">
        <v>4590.5308000000005</v>
      </c>
    </row>
    <row r="133" spans="1:11" x14ac:dyDescent="0.3">
      <c r="A133" t="s">
        <v>18</v>
      </c>
      <c r="B133" t="s">
        <v>28</v>
      </c>
      <c r="C133" t="s">
        <v>29</v>
      </c>
      <c r="D133" s="1">
        <v>3373</v>
      </c>
      <c r="E133">
        <v>47</v>
      </c>
      <c r="F133" s="2">
        <v>158531</v>
      </c>
      <c r="G133" s="3">
        <v>87683.496100000004</v>
      </c>
      <c r="H133" s="3">
        <v>5960.7656000000006</v>
      </c>
      <c r="I133" s="3">
        <v>6671</v>
      </c>
      <c r="J133" s="3">
        <v>3901</v>
      </c>
      <c r="K133" s="3">
        <v>4962.0203000000001</v>
      </c>
    </row>
    <row r="134" spans="1:11" x14ac:dyDescent="0.3">
      <c r="A134" t="s">
        <v>18</v>
      </c>
      <c r="B134" t="s">
        <v>28</v>
      </c>
      <c r="C134" t="s">
        <v>24</v>
      </c>
      <c r="D134" s="1">
        <v>2673</v>
      </c>
      <c r="E134">
        <v>71</v>
      </c>
      <c r="F134" s="2">
        <v>189783</v>
      </c>
      <c r="G134" s="3">
        <v>110662.46729999999</v>
      </c>
      <c r="H134" s="3">
        <v>6167.9475000000002</v>
      </c>
      <c r="I134" s="3">
        <v>5630</v>
      </c>
      <c r="J134" s="3">
        <v>5014</v>
      </c>
      <c r="K134" s="3">
        <v>7800.0812999999998</v>
      </c>
    </row>
    <row r="135" spans="1:11" x14ac:dyDescent="0.3">
      <c r="A135" t="s">
        <v>18</v>
      </c>
      <c r="B135" t="s">
        <v>28</v>
      </c>
      <c r="C135" t="s">
        <v>25</v>
      </c>
      <c r="D135" s="1">
        <v>3207</v>
      </c>
      <c r="E135">
        <v>270</v>
      </c>
      <c r="F135" s="2">
        <v>865890</v>
      </c>
      <c r="G135" s="3">
        <v>594693.25199999998</v>
      </c>
      <c r="H135" s="3">
        <v>26756.001</v>
      </c>
      <c r="I135" s="3">
        <v>5617</v>
      </c>
      <c r="J135" s="3">
        <v>5199</v>
      </c>
      <c r="K135" s="3">
        <v>21041.127</v>
      </c>
    </row>
    <row r="136" spans="1:11" x14ac:dyDescent="0.3">
      <c r="A136" t="s">
        <v>18</v>
      </c>
      <c r="B136" t="s">
        <v>28</v>
      </c>
      <c r="C136" t="s">
        <v>26</v>
      </c>
      <c r="D136" s="1">
        <v>3106</v>
      </c>
      <c r="E136">
        <v>40</v>
      </c>
      <c r="F136" s="2">
        <v>124240</v>
      </c>
      <c r="G136" s="3">
        <v>61995.76</v>
      </c>
      <c r="H136" s="3">
        <v>4870.2079999999996</v>
      </c>
      <c r="I136" s="3">
        <v>12685</v>
      </c>
      <c r="J136" s="3">
        <v>4812</v>
      </c>
      <c r="K136" s="3">
        <v>4932.3280000000004</v>
      </c>
    </row>
    <row r="137" spans="1:11" x14ac:dyDescent="0.3">
      <c r="A137" t="s">
        <v>19</v>
      </c>
      <c r="B137" t="s">
        <v>22</v>
      </c>
      <c r="C137" t="s">
        <v>23</v>
      </c>
      <c r="D137" s="1">
        <v>681</v>
      </c>
      <c r="E137">
        <v>219</v>
      </c>
      <c r="F137" s="2">
        <v>149139</v>
      </c>
      <c r="G137" s="3">
        <v>98372.084399999992</v>
      </c>
      <c r="H137" s="3">
        <v>15555.197700000001</v>
      </c>
      <c r="I137" s="3">
        <v>9431</v>
      </c>
      <c r="J137" s="3">
        <v>2974</v>
      </c>
      <c r="K137" s="3">
        <v>5771.6792999999998</v>
      </c>
    </row>
    <row r="138" spans="1:11" x14ac:dyDescent="0.3">
      <c r="A138" t="s">
        <v>19</v>
      </c>
      <c r="B138" t="s">
        <v>22</v>
      </c>
      <c r="C138" t="s">
        <v>29</v>
      </c>
      <c r="D138" s="1">
        <v>2088</v>
      </c>
      <c r="E138">
        <v>67</v>
      </c>
      <c r="F138" s="2">
        <v>139896</v>
      </c>
      <c r="G138" s="3">
        <v>82552.6296</v>
      </c>
      <c r="H138" s="3">
        <v>16046.0712</v>
      </c>
      <c r="I138" s="3">
        <v>10714</v>
      </c>
      <c r="J138" s="3">
        <v>1197</v>
      </c>
      <c r="K138" s="3">
        <v>4910.3495999999996</v>
      </c>
    </row>
    <row r="139" spans="1:11" x14ac:dyDescent="0.3">
      <c r="A139" t="s">
        <v>19</v>
      </c>
      <c r="B139" t="s">
        <v>22</v>
      </c>
      <c r="C139" t="s">
        <v>24</v>
      </c>
      <c r="D139" s="1">
        <v>2025</v>
      </c>
      <c r="E139">
        <v>107</v>
      </c>
      <c r="F139" s="2">
        <v>216675</v>
      </c>
      <c r="G139" s="3">
        <v>131868.405</v>
      </c>
      <c r="H139" s="3">
        <v>22534.2</v>
      </c>
      <c r="I139" s="3">
        <v>7582</v>
      </c>
      <c r="J139" s="3">
        <v>3094</v>
      </c>
      <c r="K139" s="3">
        <v>9100.35</v>
      </c>
    </row>
    <row r="140" spans="1:11" x14ac:dyDescent="0.3">
      <c r="A140" t="s">
        <v>19</v>
      </c>
      <c r="B140" t="s">
        <v>22</v>
      </c>
      <c r="C140" t="s">
        <v>25</v>
      </c>
      <c r="D140" s="1">
        <v>1254</v>
      </c>
      <c r="E140">
        <v>498</v>
      </c>
      <c r="F140" s="2">
        <v>624492</v>
      </c>
      <c r="G140" s="3">
        <v>471616.35839999997</v>
      </c>
      <c r="H140" s="3">
        <v>43901.787600000003</v>
      </c>
      <c r="I140" s="3">
        <v>4402</v>
      </c>
      <c r="J140" s="3">
        <v>3847</v>
      </c>
      <c r="K140" s="3">
        <v>36220.536</v>
      </c>
    </row>
    <row r="141" spans="1:11" x14ac:dyDescent="0.3">
      <c r="A141" t="s">
        <v>19</v>
      </c>
      <c r="B141" t="s">
        <v>22</v>
      </c>
      <c r="C141" t="s">
        <v>26</v>
      </c>
      <c r="D141" s="1">
        <v>1310</v>
      </c>
      <c r="E141">
        <v>90</v>
      </c>
      <c r="F141" s="2">
        <v>117900</v>
      </c>
      <c r="G141" s="3">
        <v>78026.22</v>
      </c>
      <c r="H141" s="3">
        <v>9526.32</v>
      </c>
      <c r="I141" s="3">
        <v>6987</v>
      </c>
      <c r="J141" s="3">
        <v>2033</v>
      </c>
      <c r="K141" s="3">
        <v>6578.82</v>
      </c>
    </row>
    <row r="142" spans="1:11" x14ac:dyDescent="0.3">
      <c r="A142" t="s">
        <v>19</v>
      </c>
      <c r="B142" t="s">
        <v>27</v>
      </c>
      <c r="C142" t="s">
        <v>23</v>
      </c>
      <c r="D142" s="1">
        <v>1320</v>
      </c>
      <c r="E142">
        <v>196</v>
      </c>
      <c r="F142" s="2">
        <v>258720</v>
      </c>
      <c r="G142" s="3">
        <v>164934</v>
      </c>
      <c r="H142" s="3">
        <v>12366.816000000001</v>
      </c>
      <c r="I142" s="3">
        <v>15798</v>
      </c>
      <c r="J142" s="3">
        <v>8162</v>
      </c>
      <c r="K142" s="3">
        <v>8641.2479999999996</v>
      </c>
    </row>
    <row r="143" spans="1:11" x14ac:dyDescent="0.3">
      <c r="A143" t="s">
        <v>19</v>
      </c>
      <c r="B143" t="s">
        <v>27</v>
      </c>
      <c r="C143" t="s">
        <v>29</v>
      </c>
      <c r="D143" s="1">
        <v>731</v>
      </c>
      <c r="E143">
        <v>70</v>
      </c>
      <c r="F143" s="2">
        <v>51170</v>
      </c>
      <c r="G143" s="3">
        <v>25042.598000000002</v>
      </c>
      <c r="H143" s="3">
        <v>2256.5970000000002</v>
      </c>
      <c r="I143" s="3">
        <v>17658</v>
      </c>
      <c r="J143" s="3">
        <v>8607</v>
      </c>
      <c r="K143" s="3">
        <v>1540.2170000000001</v>
      </c>
    </row>
    <row r="144" spans="1:11" x14ac:dyDescent="0.3">
      <c r="A144" t="s">
        <v>19</v>
      </c>
      <c r="B144" t="s">
        <v>27</v>
      </c>
      <c r="C144" t="s">
        <v>24</v>
      </c>
      <c r="D144" s="1">
        <v>1204</v>
      </c>
      <c r="E144">
        <v>54</v>
      </c>
      <c r="F144" s="2">
        <v>65016</v>
      </c>
      <c r="G144" s="3">
        <v>39042.108</v>
      </c>
      <c r="H144" s="3">
        <v>2854.2024000000001</v>
      </c>
      <c r="I144" s="3">
        <v>9921</v>
      </c>
      <c r="J144" s="3">
        <v>8440</v>
      </c>
      <c r="K144" s="3">
        <v>2412.0936000000002</v>
      </c>
    </row>
    <row r="145" spans="1:11" x14ac:dyDescent="0.3">
      <c r="A145" t="s">
        <v>19</v>
      </c>
      <c r="B145" t="s">
        <v>27</v>
      </c>
      <c r="C145" t="s">
        <v>25</v>
      </c>
      <c r="D145" s="1">
        <v>714</v>
      </c>
      <c r="E145">
        <v>504</v>
      </c>
      <c r="F145" s="2">
        <v>359856</v>
      </c>
      <c r="G145" s="3">
        <v>247796.84159999999</v>
      </c>
      <c r="H145" s="3">
        <v>11803.276800000001</v>
      </c>
      <c r="I145" s="3">
        <v>19021</v>
      </c>
      <c r="J145" s="3">
        <v>10741</v>
      </c>
      <c r="K145" s="3">
        <v>17992.8</v>
      </c>
    </row>
    <row r="146" spans="1:11" x14ac:dyDescent="0.3">
      <c r="A146" t="s">
        <v>19</v>
      </c>
      <c r="B146" t="s">
        <v>27</v>
      </c>
      <c r="C146" t="s">
        <v>26</v>
      </c>
      <c r="D146" s="1">
        <v>868</v>
      </c>
      <c r="E146">
        <v>76</v>
      </c>
      <c r="F146" s="2">
        <v>65968</v>
      </c>
      <c r="G146" s="3">
        <v>36599.046399999999</v>
      </c>
      <c r="H146" s="3">
        <v>2737.672</v>
      </c>
      <c r="I146" s="3">
        <v>12251</v>
      </c>
      <c r="J146" s="3">
        <v>13442</v>
      </c>
      <c r="K146" s="3">
        <v>3852.5311999999999</v>
      </c>
    </row>
    <row r="147" spans="1:11" x14ac:dyDescent="0.3">
      <c r="A147" t="s">
        <v>19</v>
      </c>
      <c r="B147" t="s">
        <v>28</v>
      </c>
      <c r="C147" t="s">
        <v>23</v>
      </c>
      <c r="D147" s="1">
        <v>3092</v>
      </c>
      <c r="E147">
        <v>185</v>
      </c>
      <c r="F147" s="2">
        <v>572020</v>
      </c>
      <c r="G147" s="3">
        <v>353679.96599999996</v>
      </c>
      <c r="H147" s="3">
        <v>22022.77</v>
      </c>
      <c r="I147" s="3">
        <v>13744</v>
      </c>
      <c r="J147" s="3">
        <v>5254</v>
      </c>
      <c r="K147" s="3">
        <v>13671.278</v>
      </c>
    </row>
    <row r="148" spans="1:11" x14ac:dyDescent="0.3">
      <c r="A148" t="s">
        <v>19</v>
      </c>
      <c r="B148" t="s">
        <v>28</v>
      </c>
      <c r="C148" t="s">
        <v>29</v>
      </c>
      <c r="D148" s="1">
        <v>1493</v>
      </c>
      <c r="E148">
        <v>60</v>
      </c>
      <c r="F148" s="2">
        <v>89580</v>
      </c>
      <c r="G148" s="3">
        <v>41583.036</v>
      </c>
      <c r="H148" s="3">
        <v>3054.6779999999999</v>
      </c>
      <c r="I148" s="3">
        <v>6915</v>
      </c>
      <c r="J148" s="3">
        <v>5817</v>
      </c>
      <c r="K148" s="3">
        <v>4138.5959999999995</v>
      </c>
    </row>
    <row r="149" spans="1:11" x14ac:dyDescent="0.3">
      <c r="A149" t="s">
        <v>19</v>
      </c>
      <c r="B149" t="s">
        <v>28</v>
      </c>
      <c r="C149" t="s">
        <v>24</v>
      </c>
      <c r="D149" s="1">
        <v>1893</v>
      </c>
      <c r="E149">
        <v>44</v>
      </c>
      <c r="F149" s="2">
        <v>83292</v>
      </c>
      <c r="G149" s="3">
        <v>51591.064799999993</v>
      </c>
      <c r="H149" s="3">
        <v>2465.4432000000002</v>
      </c>
      <c r="I149" s="3">
        <v>12644</v>
      </c>
      <c r="J149" s="3">
        <v>5203</v>
      </c>
      <c r="K149" s="3">
        <v>4597.7183999999997</v>
      </c>
    </row>
    <row r="150" spans="1:11" x14ac:dyDescent="0.3">
      <c r="A150" t="s">
        <v>19</v>
      </c>
      <c r="B150" t="s">
        <v>28</v>
      </c>
      <c r="C150" t="s">
        <v>25</v>
      </c>
      <c r="D150" s="1">
        <v>2138</v>
      </c>
      <c r="E150">
        <v>199</v>
      </c>
      <c r="F150" s="2">
        <v>425462</v>
      </c>
      <c r="G150" s="3">
        <v>323266.02760000003</v>
      </c>
      <c r="H150" s="3">
        <v>17443.941999999999</v>
      </c>
      <c r="I150" s="3">
        <v>12954</v>
      </c>
      <c r="J150" s="3">
        <v>4707</v>
      </c>
      <c r="K150" s="3">
        <v>22847.309399999998</v>
      </c>
    </row>
    <row r="151" spans="1:11" x14ac:dyDescent="0.3">
      <c r="A151" t="s">
        <v>19</v>
      </c>
      <c r="B151" t="s">
        <v>28</v>
      </c>
      <c r="C151" t="s">
        <v>26</v>
      </c>
      <c r="D151" s="1">
        <v>2520</v>
      </c>
      <c r="E151">
        <v>70</v>
      </c>
      <c r="F151" s="2">
        <v>176400</v>
      </c>
      <c r="G151" s="3">
        <v>108750.6</v>
      </c>
      <c r="H151" s="3">
        <v>7638.12</v>
      </c>
      <c r="I151" s="3">
        <v>9341</v>
      </c>
      <c r="J151" s="3">
        <v>3346</v>
      </c>
      <c r="K151" s="3">
        <v>6403.32</v>
      </c>
    </row>
    <row r="152" spans="1:11" x14ac:dyDescent="0.3">
      <c r="A152" t="s">
        <v>20</v>
      </c>
      <c r="B152" t="s">
        <v>22</v>
      </c>
      <c r="C152" t="s">
        <v>23</v>
      </c>
      <c r="D152" s="1">
        <v>1749</v>
      </c>
      <c r="E152">
        <v>146</v>
      </c>
      <c r="F152" s="2">
        <v>255354</v>
      </c>
      <c r="G152" s="3">
        <v>170678.61360000001</v>
      </c>
      <c r="H152" s="3">
        <v>29646.599399999999</v>
      </c>
      <c r="I152" s="3">
        <v>4966</v>
      </c>
      <c r="J152" s="3">
        <v>2208</v>
      </c>
      <c r="K152" s="3">
        <v>5413.5047999999997</v>
      </c>
    </row>
    <row r="153" spans="1:11" x14ac:dyDescent="0.3">
      <c r="A153" t="s">
        <v>20</v>
      </c>
      <c r="B153" t="s">
        <v>22</v>
      </c>
      <c r="C153" t="s">
        <v>29</v>
      </c>
      <c r="D153" s="1">
        <v>1221</v>
      </c>
      <c r="E153">
        <v>67</v>
      </c>
      <c r="F153" s="2">
        <v>81807</v>
      </c>
      <c r="G153" s="3">
        <v>48405.2019</v>
      </c>
      <c r="H153" s="3">
        <v>7313.5457999999999</v>
      </c>
      <c r="I153" s="3">
        <v>4758</v>
      </c>
      <c r="J153" s="3">
        <v>2207</v>
      </c>
      <c r="K153" s="3">
        <v>1709.7663</v>
      </c>
    </row>
    <row r="154" spans="1:11" x14ac:dyDescent="0.3">
      <c r="A154" t="s">
        <v>20</v>
      </c>
      <c r="B154" t="s">
        <v>22</v>
      </c>
      <c r="C154" t="s">
        <v>24</v>
      </c>
      <c r="D154" s="1">
        <v>1111</v>
      </c>
      <c r="E154">
        <v>36</v>
      </c>
      <c r="F154" s="2">
        <v>39996</v>
      </c>
      <c r="G154" s="3">
        <v>23185.681199999999</v>
      </c>
      <c r="H154" s="3">
        <v>4155.5844000000006</v>
      </c>
      <c r="I154" s="3">
        <v>10303</v>
      </c>
      <c r="J154" s="3">
        <v>1861</v>
      </c>
      <c r="K154" s="3">
        <v>2391.7608</v>
      </c>
    </row>
    <row r="155" spans="1:11" x14ac:dyDescent="0.3">
      <c r="A155" t="s">
        <v>20</v>
      </c>
      <c r="B155" t="s">
        <v>22</v>
      </c>
      <c r="C155" t="s">
        <v>25</v>
      </c>
      <c r="D155" s="1">
        <v>713</v>
      </c>
      <c r="E155">
        <v>598</v>
      </c>
      <c r="F155" s="2">
        <v>426374</v>
      </c>
      <c r="G155" s="3">
        <v>271642.87540000002</v>
      </c>
      <c r="H155" s="3">
        <v>37520.911999999997</v>
      </c>
      <c r="I155" s="3">
        <v>10884</v>
      </c>
      <c r="J155" s="3">
        <v>1677</v>
      </c>
      <c r="K155" s="3">
        <v>21531.886999999999</v>
      </c>
    </row>
    <row r="156" spans="1:11" x14ac:dyDescent="0.3">
      <c r="A156" t="s">
        <v>20</v>
      </c>
      <c r="B156" t="s">
        <v>22</v>
      </c>
      <c r="C156" t="s">
        <v>26</v>
      </c>
      <c r="D156" s="1">
        <v>1079</v>
      </c>
      <c r="E156">
        <v>33</v>
      </c>
      <c r="F156" s="2">
        <v>35607</v>
      </c>
      <c r="G156" s="3">
        <v>23521.984199999999</v>
      </c>
      <c r="H156" s="3">
        <v>4034.2730999999999</v>
      </c>
      <c r="I156" s="3">
        <v>11444</v>
      </c>
      <c r="J156" s="3">
        <v>3939</v>
      </c>
      <c r="K156" s="3">
        <v>1523.9795999999999</v>
      </c>
    </row>
    <row r="157" spans="1:11" x14ac:dyDescent="0.3">
      <c r="A157" t="s">
        <v>20</v>
      </c>
      <c r="B157" t="s">
        <v>27</v>
      </c>
      <c r="C157" t="s">
        <v>23</v>
      </c>
      <c r="D157" s="1">
        <v>1057</v>
      </c>
      <c r="E157">
        <v>198</v>
      </c>
      <c r="F157" s="2">
        <v>209286</v>
      </c>
      <c r="G157" s="3">
        <v>145516.5558</v>
      </c>
      <c r="H157" s="3">
        <v>11782.801800000001</v>
      </c>
      <c r="I157" s="3">
        <v>19086</v>
      </c>
      <c r="J157" s="3">
        <v>12378</v>
      </c>
      <c r="K157" s="3">
        <v>11803.7304</v>
      </c>
    </row>
    <row r="158" spans="1:11" x14ac:dyDescent="0.3">
      <c r="A158" t="s">
        <v>20</v>
      </c>
      <c r="B158" t="s">
        <v>27</v>
      </c>
      <c r="C158" t="s">
        <v>29</v>
      </c>
      <c r="D158" s="1">
        <v>661</v>
      </c>
      <c r="E158">
        <v>68</v>
      </c>
      <c r="F158" s="2">
        <v>44948</v>
      </c>
      <c r="G158" s="3">
        <v>20797.439600000002</v>
      </c>
      <c r="H158" s="3">
        <v>2849.7031999999999</v>
      </c>
      <c r="I158" s="3">
        <v>8060</v>
      </c>
      <c r="J158" s="3">
        <v>8024</v>
      </c>
      <c r="K158" s="3">
        <v>1968.7224000000001</v>
      </c>
    </row>
    <row r="159" spans="1:11" x14ac:dyDescent="0.3">
      <c r="A159" t="s">
        <v>20</v>
      </c>
      <c r="B159" t="s">
        <v>27</v>
      </c>
      <c r="C159" t="s">
        <v>24</v>
      </c>
      <c r="D159" s="1">
        <v>1237</v>
      </c>
      <c r="E159">
        <v>52</v>
      </c>
      <c r="F159" s="2">
        <v>64324</v>
      </c>
      <c r="G159" s="3">
        <v>39565.6924</v>
      </c>
      <c r="H159" s="3">
        <v>3081.1196</v>
      </c>
      <c r="I159" s="3">
        <v>14778</v>
      </c>
      <c r="J159" s="3">
        <v>8108</v>
      </c>
      <c r="K159" s="3">
        <v>3023.2280000000001</v>
      </c>
    </row>
    <row r="160" spans="1:11" x14ac:dyDescent="0.3">
      <c r="A160" t="s">
        <v>20</v>
      </c>
      <c r="B160" t="s">
        <v>27</v>
      </c>
      <c r="C160" t="s">
        <v>25</v>
      </c>
      <c r="D160" s="1">
        <v>333</v>
      </c>
      <c r="E160">
        <v>237</v>
      </c>
      <c r="F160" s="2">
        <v>78921</v>
      </c>
      <c r="G160" s="3">
        <v>58527.813600000001</v>
      </c>
      <c r="H160" s="3">
        <v>4987.8072000000002</v>
      </c>
      <c r="I160" s="3">
        <v>10863</v>
      </c>
      <c r="J160" s="3">
        <v>11165</v>
      </c>
      <c r="K160" s="3">
        <v>4656.3389999999999</v>
      </c>
    </row>
    <row r="161" spans="1:11" x14ac:dyDescent="0.3">
      <c r="A161" t="s">
        <v>20</v>
      </c>
      <c r="B161" t="s">
        <v>27</v>
      </c>
      <c r="C161" t="s">
        <v>26</v>
      </c>
      <c r="D161" s="1">
        <v>1387</v>
      </c>
      <c r="E161">
        <v>87</v>
      </c>
      <c r="F161" s="2">
        <v>120669</v>
      </c>
      <c r="G161" s="3">
        <v>67176.4323</v>
      </c>
      <c r="H161" s="3">
        <v>4983.6297000000004</v>
      </c>
      <c r="I161" s="3">
        <v>14339</v>
      </c>
      <c r="J161" s="3">
        <v>10794</v>
      </c>
      <c r="K161" s="3">
        <v>3426.9996000000001</v>
      </c>
    </row>
    <row r="162" spans="1:11" x14ac:dyDescent="0.3">
      <c r="A162" t="s">
        <v>20</v>
      </c>
      <c r="B162" t="s">
        <v>28</v>
      </c>
      <c r="C162" t="s">
        <v>23</v>
      </c>
      <c r="D162" s="1">
        <v>2442</v>
      </c>
      <c r="E162">
        <v>208</v>
      </c>
      <c r="F162" s="2">
        <v>507936</v>
      </c>
      <c r="G162" s="3">
        <v>356774.2464</v>
      </c>
      <c r="H162" s="3">
        <v>12292.0512</v>
      </c>
      <c r="I162" s="3">
        <v>5674</v>
      </c>
      <c r="J162" s="3">
        <v>3993</v>
      </c>
      <c r="K162" s="3">
        <v>16914.268800000002</v>
      </c>
    </row>
    <row r="163" spans="1:11" x14ac:dyDescent="0.3">
      <c r="A163" t="s">
        <v>20</v>
      </c>
      <c r="B163" t="s">
        <v>28</v>
      </c>
      <c r="C163" t="s">
        <v>29</v>
      </c>
      <c r="D163" s="1">
        <v>1405</v>
      </c>
      <c r="E163">
        <v>46</v>
      </c>
      <c r="F163" s="2">
        <v>64630</v>
      </c>
      <c r="G163" s="3">
        <v>32457.185999999998</v>
      </c>
      <c r="H163" s="3">
        <v>3037.61</v>
      </c>
      <c r="I163" s="3">
        <v>6118</v>
      </c>
      <c r="J163" s="3">
        <v>3684</v>
      </c>
      <c r="K163" s="3">
        <v>1764.3989999999999</v>
      </c>
    </row>
    <row r="164" spans="1:11" x14ac:dyDescent="0.3">
      <c r="A164" t="s">
        <v>20</v>
      </c>
      <c r="B164" t="s">
        <v>28</v>
      </c>
      <c r="C164" t="s">
        <v>24</v>
      </c>
      <c r="D164" s="1">
        <v>1620</v>
      </c>
      <c r="E164">
        <v>106</v>
      </c>
      <c r="F164" s="2">
        <v>171720</v>
      </c>
      <c r="G164" s="3">
        <v>86048.891999999993</v>
      </c>
      <c r="H164" s="3">
        <v>6010.2000000000007</v>
      </c>
      <c r="I164" s="3">
        <v>9079</v>
      </c>
      <c r="J164" s="3">
        <v>5845</v>
      </c>
      <c r="K164" s="3">
        <v>8139.5280000000002</v>
      </c>
    </row>
    <row r="165" spans="1:11" x14ac:dyDescent="0.3">
      <c r="A165" t="s">
        <v>20</v>
      </c>
      <c r="B165" t="s">
        <v>28</v>
      </c>
      <c r="C165" t="s">
        <v>25</v>
      </c>
      <c r="D165" s="1">
        <v>2111</v>
      </c>
      <c r="E165">
        <v>506</v>
      </c>
      <c r="F165" s="2">
        <v>1068166</v>
      </c>
      <c r="G165" s="3">
        <v>774420.35</v>
      </c>
      <c r="H165" s="3">
        <v>25208.7176</v>
      </c>
      <c r="I165" s="3">
        <v>12393</v>
      </c>
      <c r="J165" s="3">
        <v>6143</v>
      </c>
      <c r="K165" s="3">
        <v>42406.190199999997</v>
      </c>
    </row>
    <row r="166" spans="1:11" x14ac:dyDescent="0.3">
      <c r="A166" t="s">
        <v>20</v>
      </c>
      <c r="B166" t="s">
        <v>28</v>
      </c>
      <c r="C166" t="s">
        <v>26</v>
      </c>
      <c r="D166" s="1">
        <v>1786</v>
      </c>
      <c r="E166">
        <v>34</v>
      </c>
      <c r="F166" s="2">
        <v>60724</v>
      </c>
      <c r="G166" s="3">
        <v>29432.9228</v>
      </c>
      <c r="H166" s="3">
        <v>1256.9867999999999</v>
      </c>
      <c r="I166" s="3">
        <v>7842</v>
      </c>
      <c r="J166" s="3">
        <v>3214</v>
      </c>
      <c r="K166" s="3">
        <v>1639.548</v>
      </c>
    </row>
    <row r="167" spans="1:11" x14ac:dyDescent="0.3">
      <c r="A167" t="s">
        <v>21</v>
      </c>
      <c r="B167" t="s">
        <v>22</v>
      </c>
      <c r="C167" t="s">
        <v>23</v>
      </c>
      <c r="D167" s="1">
        <v>2136</v>
      </c>
      <c r="E167">
        <v>128</v>
      </c>
      <c r="F167" s="2">
        <v>273408</v>
      </c>
      <c r="G167" s="3">
        <v>164044.79999999999</v>
      </c>
      <c r="H167" s="3">
        <v>21872.639999999999</v>
      </c>
      <c r="I167" s="3">
        <v>5504</v>
      </c>
      <c r="J167" s="3">
        <v>2178</v>
      </c>
      <c r="K167" s="3">
        <v>5714.2272000000003</v>
      </c>
    </row>
    <row r="168" spans="1:11" x14ac:dyDescent="0.3">
      <c r="A168" t="s">
        <v>21</v>
      </c>
      <c r="B168" t="s">
        <v>22</v>
      </c>
      <c r="C168" t="s">
        <v>29</v>
      </c>
      <c r="D168" s="1">
        <v>1055</v>
      </c>
      <c r="E168">
        <v>67</v>
      </c>
      <c r="F168" s="2">
        <v>70685</v>
      </c>
      <c r="G168" s="3">
        <v>32557.511000000002</v>
      </c>
      <c r="H168" s="3">
        <v>5025.7034999999996</v>
      </c>
      <c r="I168" s="3">
        <v>9441</v>
      </c>
      <c r="J168" s="3">
        <v>2423</v>
      </c>
      <c r="K168" s="3">
        <v>3067.7289999999998</v>
      </c>
    </row>
    <row r="169" spans="1:11" x14ac:dyDescent="0.3">
      <c r="A169" t="s">
        <v>21</v>
      </c>
      <c r="B169" t="s">
        <v>22</v>
      </c>
      <c r="C169" t="s">
        <v>24</v>
      </c>
      <c r="D169" s="1">
        <v>1253</v>
      </c>
      <c r="E169">
        <v>56</v>
      </c>
      <c r="F169" s="2">
        <v>70168</v>
      </c>
      <c r="G169" s="3">
        <v>36739.964799999994</v>
      </c>
      <c r="H169" s="3">
        <v>7164.1527999999998</v>
      </c>
      <c r="I169" s="3">
        <v>5604</v>
      </c>
      <c r="J169" s="3">
        <v>1025</v>
      </c>
      <c r="K169" s="3">
        <v>2378.6952000000001</v>
      </c>
    </row>
    <row r="170" spans="1:11" x14ac:dyDescent="0.3">
      <c r="A170" t="s">
        <v>21</v>
      </c>
      <c r="B170" t="s">
        <v>22</v>
      </c>
      <c r="C170" t="s">
        <v>25</v>
      </c>
      <c r="D170" s="1">
        <v>2021</v>
      </c>
      <c r="E170">
        <v>506</v>
      </c>
      <c r="F170" s="2">
        <v>1022626</v>
      </c>
      <c r="G170" s="3">
        <v>688431.82319999998</v>
      </c>
      <c r="H170" s="3">
        <v>118011.0404</v>
      </c>
      <c r="I170" s="3">
        <v>5154</v>
      </c>
      <c r="J170" s="3">
        <v>3726</v>
      </c>
      <c r="K170" s="3">
        <v>40495.989600000001</v>
      </c>
    </row>
    <row r="171" spans="1:11" x14ac:dyDescent="0.3">
      <c r="A171" t="s">
        <v>21</v>
      </c>
      <c r="B171" t="s">
        <v>22</v>
      </c>
      <c r="C171" t="s">
        <v>26</v>
      </c>
      <c r="D171" s="1">
        <v>1293</v>
      </c>
      <c r="E171">
        <v>48</v>
      </c>
      <c r="F171" s="2">
        <v>62064</v>
      </c>
      <c r="G171" s="3">
        <v>36890.8416</v>
      </c>
      <c r="H171" s="3">
        <v>5629.2048000000004</v>
      </c>
      <c r="I171" s="3">
        <v>11807</v>
      </c>
      <c r="J171" s="3">
        <v>1344</v>
      </c>
      <c r="K171" s="3">
        <v>3401.1071999999999</v>
      </c>
    </row>
    <row r="172" spans="1:11" x14ac:dyDescent="0.3">
      <c r="A172" t="s">
        <v>21</v>
      </c>
      <c r="B172" t="s">
        <v>27</v>
      </c>
      <c r="C172" t="s">
        <v>23</v>
      </c>
      <c r="D172" s="1">
        <v>976</v>
      </c>
      <c r="E172">
        <v>162</v>
      </c>
      <c r="F172" s="2">
        <v>158112</v>
      </c>
      <c r="G172" s="3">
        <v>95736.816000000006</v>
      </c>
      <c r="H172" s="3">
        <v>10451.203200000002</v>
      </c>
      <c r="I172" s="3">
        <v>18001</v>
      </c>
      <c r="J172" s="3">
        <v>11438</v>
      </c>
      <c r="K172" s="3">
        <v>3351.9744000000001</v>
      </c>
    </row>
    <row r="173" spans="1:11" x14ac:dyDescent="0.3">
      <c r="A173" t="s">
        <v>21</v>
      </c>
      <c r="B173" t="s">
        <v>27</v>
      </c>
      <c r="C173" t="s">
        <v>29</v>
      </c>
      <c r="D173" s="1">
        <v>785</v>
      </c>
      <c r="E173">
        <v>52</v>
      </c>
      <c r="F173" s="2">
        <v>40820</v>
      </c>
      <c r="G173" s="3">
        <v>23687.846000000001</v>
      </c>
      <c r="H173" s="3">
        <v>1318.4860000000001</v>
      </c>
      <c r="I173" s="3">
        <v>14058</v>
      </c>
      <c r="J173" s="3">
        <v>6272</v>
      </c>
      <c r="K173" s="3">
        <v>1751.1780000000001</v>
      </c>
    </row>
    <row r="174" spans="1:11" x14ac:dyDescent="0.3">
      <c r="A174" t="s">
        <v>21</v>
      </c>
      <c r="B174" t="s">
        <v>27</v>
      </c>
      <c r="C174" t="s">
        <v>24</v>
      </c>
      <c r="D174" s="1">
        <v>1070</v>
      </c>
      <c r="E174">
        <v>92</v>
      </c>
      <c r="F174" s="2">
        <v>98440</v>
      </c>
      <c r="G174" s="3">
        <v>59339.631999999998</v>
      </c>
      <c r="H174" s="3">
        <v>3730.8760000000002</v>
      </c>
      <c r="I174" s="3">
        <v>16309</v>
      </c>
      <c r="J174" s="3">
        <v>6912</v>
      </c>
      <c r="K174" s="3">
        <v>2244.4319999999998</v>
      </c>
    </row>
    <row r="175" spans="1:11" x14ac:dyDescent="0.3">
      <c r="A175" t="s">
        <v>21</v>
      </c>
      <c r="B175" t="s">
        <v>27</v>
      </c>
      <c r="C175" t="s">
        <v>25</v>
      </c>
      <c r="D175" s="1">
        <v>1280</v>
      </c>
      <c r="E175">
        <v>324</v>
      </c>
      <c r="F175" s="2">
        <v>414720</v>
      </c>
      <c r="G175" s="3">
        <v>267784.70400000003</v>
      </c>
      <c r="H175" s="3">
        <v>18040.32</v>
      </c>
      <c r="I175" s="3">
        <v>16959</v>
      </c>
      <c r="J175" s="3">
        <v>11097</v>
      </c>
      <c r="K175" s="3">
        <v>14017.536</v>
      </c>
    </row>
    <row r="176" spans="1:11" x14ac:dyDescent="0.3">
      <c r="A176" t="s">
        <v>21</v>
      </c>
      <c r="B176" t="s">
        <v>27</v>
      </c>
      <c r="C176" t="s">
        <v>26</v>
      </c>
      <c r="D176" s="1">
        <v>737</v>
      </c>
      <c r="E176">
        <v>33</v>
      </c>
      <c r="F176" s="2">
        <v>24321</v>
      </c>
      <c r="G176" s="3">
        <v>15993.489599999999</v>
      </c>
      <c r="H176" s="3">
        <v>967.97580000000005</v>
      </c>
      <c r="I176" s="3">
        <v>16247</v>
      </c>
      <c r="J176" s="3">
        <v>12134</v>
      </c>
      <c r="K176" s="3">
        <v>1096.8770999999999</v>
      </c>
    </row>
    <row r="177" spans="1:11" x14ac:dyDescent="0.3">
      <c r="A177" t="s">
        <v>21</v>
      </c>
      <c r="B177" t="s">
        <v>28</v>
      </c>
      <c r="C177" t="s">
        <v>23</v>
      </c>
      <c r="D177" s="1">
        <v>3215</v>
      </c>
      <c r="E177">
        <v>86</v>
      </c>
      <c r="F177" s="2">
        <v>276490</v>
      </c>
      <c r="G177" s="3">
        <v>190888.696</v>
      </c>
      <c r="H177" s="3">
        <v>9400.66</v>
      </c>
      <c r="I177" s="3">
        <v>9138</v>
      </c>
      <c r="J177" s="3">
        <v>3780</v>
      </c>
      <c r="K177" s="3">
        <v>12359.102999999999</v>
      </c>
    </row>
    <row r="178" spans="1:11" x14ac:dyDescent="0.3">
      <c r="A178" t="s">
        <v>21</v>
      </c>
      <c r="B178" t="s">
        <v>28</v>
      </c>
      <c r="C178" t="s">
        <v>29</v>
      </c>
      <c r="D178" s="1">
        <v>3012</v>
      </c>
      <c r="E178">
        <v>70</v>
      </c>
      <c r="F178" s="2">
        <v>210840</v>
      </c>
      <c r="G178" s="3">
        <v>120642.64800000002</v>
      </c>
      <c r="H178" s="3">
        <v>8370.348</v>
      </c>
      <c r="I178" s="3">
        <v>9176</v>
      </c>
      <c r="J178" s="3">
        <v>4543</v>
      </c>
      <c r="K178" s="3">
        <v>5502.924</v>
      </c>
    </row>
    <row r="179" spans="1:11" x14ac:dyDescent="0.3">
      <c r="A179" t="s">
        <v>21</v>
      </c>
      <c r="B179" t="s">
        <v>28</v>
      </c>
      <c r="C179" t="s">
        <v>24</v>
      </c>
      <c r="D179" s="1">
        <v>2129</v>
      </c>
      <c r="E179">
        <v>106</v>
      </c>
      <c r="F179" s="2">
        <v>225674</v>
      </c>
      <c r="G179" s="3">
        <v>124639.75020000001</v>
      </c>
      <c r="H179" s="3">
        <v>10538.9758</v>
      </c>
      <c r="I179" s="3">
        <v>10913</v>
      </c>
      <c r="J179" s="3">
        <v>5694</v>
      </c>
      <c r="K179" s="3">
        <v>13450.170400000001</v>
      </c>
    </row>
    <row r="180" spans="1:11" x14ac:dyDescent="0.3">
      <c r="A180" t="s">
        <v>21</v>
      </c>
      <c r="B180" t="s">
        <v>28</v>
      </c>
      <c r="C180" t="s">
        <v>25</v>
      </c>
      <c r="D180" s="1">
        <v>2190</v>
      </c>
      <c r="E180">
        <v>458</v>
      </c>
      <c r="F180" s="2">
        <v>1003020</v>
      </c>
      <c r="G180" s="3">
        <v>624079.04399999999</v>
      </c>
      <c r="H180" s="3">
        <v>37412.646000000001</v>
      </c>
      <c r="I180" s="3">
        <v>6796</v>
      </c>
      <c r="J180" s="3">
        <v>3927</v>
      </c>
      <c r="K180" s="3">
        <v>20160.702000000001</v>
      </c>
    </row>
    <row r="181" spans="1:11" x14ac:dyDescent="0.3">
      <c r="A181" t="s">
        <v>21</v>
      </c>
      <c r="B181" t="s">
        <v>28</v>
      </c>
      <c r="C181" t="s">
        <v>26</v>
      </c>
      <c r="D181" s="1">
        <v>2664</v>
      </c>
      <c r="E181">
        <v>74</v>
      </c>
      <c r="F181" s="2">
        <v>197136</v>
      </c>
      <c r="G181" s="3">
        <v>133401.93119999999</v>
      </c>
      <c r="H181" s="3">
        <v>9383.6736000000001</v>
      </c>
      <c r="I181" s="3">
        <v>9877</v>
      </c>
      <c r="J181" s="3">
        <v>6614</v>
      </c>
      <c r="K181" s="3">
        <v>10645.343999999999</v>
      </c>
    </row>
    <row r="185" spans="1:11" x14ac:dyDescent="0.3">
      <c r="F185" s="3"/>
    </row>
  </sheetData>
  <phoneticPr fontId="4"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29F02-F3AD-4380-AC21-294942F84DEC}">
  <dimension ref="A1:I16"/>
  <sheetViews>
    <sheetView workbookViewId="0">
      <selection activeCell="E1" sqref="E1"/>
    </sheetView>
  </sheetViews>
  <sheetFormatPr defaultRowHeight="14.4" x14ac:dyDescent="0.3"/>
  <cols>
    <col min="1" max="1" width="8.33203125" bestFit="1" customWidth="1"/>
    <col min="2" max="2" width="16.44140625" bestFit="1" customWidth="1"/>
    <col min="3" max="3" width="14.33203125" bestFit="1" customWidth="1"/>
    <col min="4" max="4" width="26" bestFit="1" customWidth="1"/>
    <col min="5" max="5" width="22.6640625" bestFit="1" customWidth="1"/>
    <col min="8" max="8" width="23" bestFit="1" customWidth="1"/>
    <col min="9" max="9" width="86.21875" bestFit="1" customWidth="1"/>
  </cols>
  <sheetData>
    <row r="1" spans="1:9" x14ac:dyDescent="0.3">
      <c r="A1" t="s">
        <v>0</v>
      </c>
      <c r="B1" t="s">
        <v>52</v>
      </c>
      <c r="C1" t="s">
        <v>53</v>
      </c>
      <c r="D1" t="s">
        <v>54</v>
      </c>
      <c r="E1" t="s">
        <v>55</v>
      </c>
      <c r="H1" t="s">
        <v>62</v>
      </c>
    </row>
    <row r="2" spans="1:9" x14ac:dyDescent="0.3">
      <c r="A2" t="s">
        <v>10</v>
      </c>
      <c r="B2" s="3">
        <v>3377297.4663999998</v>
      </c>
      <c r="C2" s="3">
        <v>1937555.5564736798</v>
      </c>
      <c r="D2" s="3">
        <v>737939.49640840001</v>
      </c>
      <c r="E2" s="11">
        <v>701802.41351791995</v>
      </c>
      <c r="H2" t="s">
        <v>61</v>
      </c>
      <c r="I2" t="s">
        <v>40</v>
      </c>
    </row>
    <row r="3" spans="1:9" x14ac:dyDescent="0.3">
      <c r="A3" t="s">
        <v>11</v>
      </c>
      <c r="B3" s="3">
        <v>3703256.8166999999</v>
      </c>
      <c r="C3" s="3">
        <v>2136038.5318725598</v>
      </c>
      <c r="D3" s="3">
        <v>808791.28876728006</v>
      </c>
      <c r="E3" s="11">
        <v>758426.99606015999</v>
      </c>
      <c r="H3" t="s">
        <v>52</v>
      </c>
      <c r="I3" t="s">
        <v>60</v>
      </c>
    </row>
    <row r="4" spans="1:9" x14ac:dyDescent="0.3">
      <c r="A4" t="s">
        <v>12</v>
      </c>
      <c r="B4" s="3">
        <v>1905033.5867999999</v>
      </c>
      <c r="C4" s="3">
        <v>1040338.8417514799</v>
      </c>
      <c r="D4" s="3">
        <v>505786.41729539994</v>
      </c>
      <c r="E4" s="11">
        <v>358908.3277531201</v>
      </c>
      <c r="H4" t="s">
        <v>53</v>
      </c>
      <c r="I4" t="s">
        <v>56</v>
      </c>
    </row>
    <row r="5" spans="1:9" x14ac:dyDescent="0.3">
      <c r="A5" t="s">
        <v>13</v>
      </c>
      <c r="B5" s="3">
        <v>3092009.3372999998</v>
      </c>
      <c r="C5" s="3">
        <v>1571049.9442821299</v>
      </c>
      <c r="D5" s="3">
        <v>762489.50257817993</v>
      </c>
      <c r="E5" s="11">
        <v>758469.89043968997</v>
      </c>
      <c r="H5" t="s">
        <v>54</v>
      </c>
      <c r="I5" t="s">
        <v>57</v>
      </c>
    </row>
    <row r="6" spans="1:9" x14ac:dyDescent="0.3">
      <c r="A6" t="s">
        <v>14</v>
      </c>
      <c r="B6" s="3">
        <v>3951363.213</v>
      </c>
      <c r="C6" s="3">
        <v>2307596.1163919996</v>
      </c>
      <c r="D6" s="3">
        <v>832947.36530039995</v>
      </c>
      <c r="E6" s="11">
        <v>810819.73130760039</v>
      </c>
      <c r="H6" t="s">
        <v>58</v>
      </c>
      <c r="I6" t="s">
        <v>59</v>
      </c>
    </row>
    <row r="7" spans="1:9" x14ac:dyDescent="0.3">
      <c r="A7" t="s">
        <v>15</v>
      </c>
      <c r="B7" s="3">
        <v>2248435.7193999998</v>
      </c>
      <c r="C7" s="3">
        <v>1347487.5266364198</v>
      </c>
      <c r="D7" s="3">
        <v>608426.70566963998</v>
      </c>
      <c r="E7" s="11">
        <v>292521.48709394003</v>
      </c>
    </row>
    <row r="8" spans="1:9" x14ac:dyDescent="0.3">
      <c r="A8" t="s">
        <v>16</v>
      </c>
      <c r="B8" s="3">
        <v>3425051.8335000002</v>
      </c>
      <c r="C8" s="3">
        <v>1982420.0012298001</v>
      </c>
      <c r="D8" s="3">
        <v>873730.72272585006</v>
      </c>
      <c r="E8" s="11">
        <v>568901.10954435007</v>
      </c>
    </row>
    <row r="9" spans="1:9" x14ac:dyDescent="0.3">
      <c r="A9" t="s">
        <v>17</v>
      </c>
      <c r="B9" s="3">
        <v>2801452.9284000001</v>
      </c>
      <c r="C9" s="3">
        <v>1588423.8104028001</v>
      </c>
      <c r="D9" s="3">
        <v>667586.23283771996</v>
      </c>
      <c r="E9" s="11">
        <v>545442.88515948004</v>
      </c>
    </row>
    <row r="10" spans="1:9" x14ac:dyDescent="0.3">
      <c r="A10" t="s">
        <v>18</v>
      </c>
      <c r="B10" s="3">
        <v>3604429.3196999999</v>
      </c>
      <c r="C10" s="3">
        <v>1964774.42216847</v>
      </c>
      <c r="D10" s="3">
        <v>782161.16237489996</v>
      </c>
      <c r="E10" s="11">
        <v>857493.73515662993</v>
      </c>
    </row>
    <row r="11" spans="1:9" x14ac:dyDescent="0.3">
      <c r="A11" t="s">
        <v>19</v>
      </c>
      <c r="B11" s="3">
        <v>3232258.3133999999</v>
      </c>
      <c r="C11" s="3">
        <v>1870831.1117959197</v>
      </c>
      <c r="D11" s="3">
        <v>799660.70673515997</v>
      </c>
      <c r="E11" s="11">
        <v>561766.49486892018</v>
      </c>
    </row>
    <row r="12" spans="1:9" x14ac:dyDescent="0.3">
      <c r="A12" t="s">
        <v>20</v>
      </c>
      <c r="B12" s="3">
        <v>3122564.5691999998</v>
      </c>
      <c r="C12" s="3">
        <v>1734896.87464752</v>
      </c>
      <c r="D12" s="3">
        <v>755660.62574639998</v>
      </c>
      <c r="E12" s="11">
        <v>632007.0688060798</v>
      </c>
    </row>
    <row r="13" spans="1:9" x14ac:dyDescent="0.3">
      <c r="A13" t="s">
        <v>21</v>
      </c>
      <c r="B13" s="3">
        <v>4020334.6083999998</v>
      </c>
      <c r="C13" s="3">
        <v>2067256.05563928</v>
      </c>
      <c r="D13" s="3">
        <v>977343.3433020399</v>
      </c>
      <c r="E13" s="11">
        <v>975735.20945867989</v>
      </c>
    </row>
    <row r="16" spans="1:9" x14ac:dyDescent="0.3">
      <c r="B16" s="3"/>
      <c r="E16" s="3"/>
    </row>
  </sheetData>
  <phoneticPr fontId="4"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F8BC1-396C-4C1F-A399-ABC7CEC7A484}">
  <dimension ref="A1:T186"/>
  <sheetViews>
    <sheetView topLeftCell="C1" zoomScale="70" zoomScaleNormal="70" workbookViewId="0">
      <selection activeCell="L18" sqref="L18"/>
    </sheetView>
  </sheetViews>
  <sheetFormatPr defaultRowHeight="14.4" x14ac:dyDescent="0.3"/>
  <cols>
    <col min="1" max="1" width="8.33203125" bestFit="1" customWidth="1"/>
    <col min="2" max="2" width="14.88671875" bestFit="1" customWidth="1"/>
    <col min="3" max="3" width="13.21875" bestFit="1" customWidth="1"/>
    <col min="4" max="4" width="11.6640625" bestFit="1" customWidth="1"/>
    <col min="5" max="5" width="20.6640625" bestFit="1" customWidth="1"/>
    <col min="6" max="6" width="11.109375" bestFit="1" customWidth="1"/>
    <col min="7" max="8" width="18.77734375" bestFit="1" customWidth="1"/>
    <col min="9" max="9" width="16.33203125" bestFit="1" customWidth="1"/>
    <col min="10" max="10" width="22.77734375" bestFit="1" customWidth="1"/>
    <col min="11" max="11" width="15.109375" bestFit="1" customWidth="1"/>
    <col min="12" max="12" width="24.33203125" bestFit="1" customWidth="1"/>
    <col min="13" max="13" width="12.88671875" bestFit="1" customWidth="1"/>
    <col min="14" max="14" width="16.44140625" bestFit="1" customWidth="1"/>
    <col min="15" max="15" width="13.88671875" bestFit="1" customWidth="1"/>
    <col min="16" max="16" width="17.44140625" bestFit="1" customWidth="1"/>
    <col min="17" max="17" width="17.21875" bestFit="1" customWidth="1"/>
    <col min="18" max="18" width="15.109375" bestFit="1" customWidth="1"/>
    <col min="19" max="19" width="14.77734375" bestFit="1" customWidth="1"/>
    <col min="20" max="20" width="13.44140625" bestFit="1" customWidth="1"/>
  </cols>
  <sheetData>
    <row r="1" spans="1:20" x14ac:dyDescent="0.3">
      <c r="A1" t="s">
        <v>0</v>
      </c>
      <c r="B1" t="s">
        <v>1</v>
      </c>
      <c r="C1" t="s">
        <v>2</v>
      </c>
      <c r="D1" t="s">
        <v>3</v>
      </c>
      <c r="E1" t="s">
        <v>4</v>
      </c>
      <c r="F1" t="s">
        <v>5</v>
      </c>
      <c r="G1" t="s">
        <v>6</v>
      </c>
      <c r="H1" t="s">
        <v>7</v>
      </c>
      <c r="I1" t="s">
        <v>8</v>
      </c>
      <c r="J1" t="s">
        <v>30</v>
      </c>
      <c r="K1" s="7" t="s">
        <v>9</v>
      </c>
      <c r="L1" t="s">
        <v>63</v>
      </c>
      <c r="M1" t="s">
        <v>64</v>
      </c>
      <c r="N1" t="s">
        <v>65</v>
      </c>
      <c r="O1" t="s">
        <v>66</v>
      </c>
      <c r="P1" t="s">
        <v>67</v>
      </c>
      <c r="Q1" t="s">
        <v>68</v>
      </c>
      <c r="R1" t="s">
        <v>69</v>
      </c>
      <c r="S1" t="s">
        <v>70</v>
      </c>
      <c r="T1" t="s">
        <v>71</v>
      </c>
    </row>
    <row r="2" spans="1:20" x14ac:dyDescent="0.3">
      <c r="A2" t="s">
        <v>10</v>
      </c>
      <c r="B2" t="s">
        <v>22</v>
      </c>
      <c r="C2" t="s">
        <v>23</v>
      </c>
      <c r="D2" s="1">
        <v>1984</v>
      </c>
      <c r="E2" s="3">
        <v>100</v>
      </c>
      <c r="F2" s="2">
        <v>198400</v>
      </c>
      <c r="G2" s="3">
        <v>136558.72</v>
      </c>
      <c r="H2" s="3">
        <v>20336</v>
      </c>
      <c r="I2" s="3">
        <v>11768</v>
      </c>
      <c r="J2" s="3">
        <v>1365</v>
      </c>
      <c r="K2" s="8">
        <v>11606.4</v>
      </c>
      <c r="L2" s="3">
        <f>SUM(FinancialAnalysis[[#This Row],[Marketing Expense]:[Other Expense]])</f>
        <v>45075.4</v>
      </c>
      <c r="M2" s="3">
        <f>FinancialAnalysis[[#This Row],[Revenue]]-FinancialAnalysis[[#This Row],[Cost of Goods Sold]]</f>
        <v>61841.279999999999</v>
      </c>
      <c r="N2" s="11">
        <f>FinancialAnalysis[[#This Row],[Gross Profit]]-FinancialAnalysis[[#This Row],[Total Operating Expenses]]</f>
        <v>16765.879999999997</v>
      </c>
      <c r="O2" s="9">
        <f>FinancialAnalysis[[#This Row],[Gross Profit]]/FinancialAnalysis[[#This Row],[Revenue]]</f>
        <v>0.31169999999999998</v>
      </c>
      <c r="P2" s="9">
        <f>FinancialAnalysis[[#This Row],[Operating Profit]]/FinancialAnalysis[[#This Row],[Revenue]]</f>
        <v>8.4505443548387085E-2</v>
      </c>
      <c r="Q2" s="4">
        <f>FinancialAnalysis[[#This Row],[Revenue]]/FinancialAnalysis[[#This Row],[Units Sold]]</f>
        <v>100</v>
      </c>
      <c r="R2" s="4">
        <f>FinancialAnalysis[[#This Row],[Cost of Goods Sold]]/FinancialAnalysis[[#This Row],[Units Sold]]</f>
        <v>68.83</v>
      </c>
      <c r="S2" s="9">
        <f>FinancialAnalysis[[#This Row],[Total Operating Expenses]]/FinancialAnalysis[[#This Row],[Revenue]]</f>
        <v>0.22719455645161291</v>
      </c>
      <c r="T2" s="3" t="str">
        <f>IF(FinancialAnalysis[[#This Row],[Operating Profit]]&gt;0,"Profitable","Not Profitable")</f>
        <v>Profitable</v>
      </c>
    </row>
    <row r="3" spans="1:20" x14ac:dyDescent="0.3">
      <c r="A3" t="s">
        <v>10</v>
      </c>
      <c r="B3" t="s">
        <v>22</v>
      </c>
      <c r="C3" t="s">
        <v>29</v>
      </c>
      <c r="D3" s="1">
        <v>1117</v>
      </c>
      <c r="E3" s="3">
        <v>70</v>
      </c>
      <c r="F3" s="2">
        <v>78190</v>
      </c>
      <c r="G3" s="3">
        <v>44474.471999999994</v>
      </c>
      <c r="H3" s="3">
        <v>6591.4170000000004</v>
      </c>
      <c r="I3" s="3">
        <v>11455</v>
      </c>
      <c r="J3" s="3">
        <v>2935</v>
      </c>
      <c r="K3" s="8">
        <v>1806.1890000000001</v>
      </c>
      <c r="L3" s="3">
        <f>SUM(FinancialAnalysis[[#This Row],[Marketing Expense]:[Other Expense]])</f>
        <v>22787.606</v>
      </c>
      <c r="M3" s="3">
        <f>FinancialAnalysis[[#This Row],[Revenue]]-FinancialAnalysis[[#This Row],[Cost of Goods Sold]]</f>
        <v>33715.528000000006</v>
      </c>
      <c r="N3" s="11">
        <f>FinancialAnalysis[[#This Row],[Gross Profit]]-FinancialAnalysis[[#This Row],[Total Operating Expenses]]</f>
        <v>10927.922000000006</v>
      </c>
      <c r="O3" s="9">
        <f>FinancialAnalysis[[#This Row],[Gross Profit]]/FinancialAnalysis[[#This Row],[Revenue]]</f>
        <v>0.43120000000000008</v>
      </c>
      <c r="P3" s="9">
        <f>FinancialAnalysis[[#This Row],[Operating Profit]]/FinancialAnalysis[[#This Row],[Revenue]]</f>
        <v>0.13976112034787064</v>
      </c>
      <c r="Q3" s="4">
        <f>FinancialAnalysis[[#This Row],[Revenue]]/FinancialAnalysis[[#This Row],[Units Sold]]</f>
        <v>70</v>
      </c>
      <c r="R3" s="4">
        <f>FinancialAnalysis[[#This Row],[Cost of Goods Sold]]/FinancialAnalysis[[#This Row],[Units Sold]]</f>
        <v>39.815999999999995</v>
      </c>
      <c r="S3" s="9">
        <f>FinancialAnalysis[[#This Row],[Total Operating Expenses]]/FinancialAnalysis[[#This Row],[Revenue]]</f>
        <v>0.29143887965212945</v>
      </c>
      <c r="T3" s="3" t="str">
        <f>IF(FinancialAnalysis[[#This Row],[Operating Profit]]&gt;0,"Profitable","Not Profitable")</f>
        <v>Profitable</v>
      </c>
    </row>
    <row r="4" spans="1:20" x14ac:dyDescent="0.3">
      <c r="A4" t="s">
        <v>10</v>
      </c>
      <c r="B4" t="s">
        <v>22</v>
      </c>
      <c r="C4" t="s">
        <v>24</v>
      </c>
      <c r="D4" s="1">
        <v>1282</v>
      </c>
      <c r="E4" s="3">
        <v>71</v>
      </c>
      <c r="F4" s="2">
        <v>91022</v>
      </c>
      <c r="G4" s="3">
        <v>51463.838799999998</v>
      </c>
      <c r="H4" s="3">
        <v>6844.8544000000002</v>
      </c>
      <c r="I4" s="3">
        <v>7845</v>
      </c>
      <c r="J4" s="3">
        <v>1830</v>
      </c>
      <c r="K4" s="8">
        <v>2730.66</v>
      </c>
      <c r="L4" s="3">
        <f>SUM(FinancialAnalysis[[#This Row],[Marketing Expense]:[Other Expense]])</f>
        <v>19250.5144</v>
      </c>
      <c r="M4" s="3">
        <f>FinancialAnalysis[[#This Row],[Revenue]]-FinancialAnalysis[[#This Row],[Cost of Goods Sold]]</f>
        <v>39558.161200000002</v>
      </c>
      <c r="N4" s="11">
        <f>FinancialAnalysis[[#This Row],[Gross Profit]]-FinancialAnalysis[[#This Row],[Total Operating Expenses]]</f>
        <v>20307.646800000002</v>
      </c>
      <c r="O4" s="9">
        <f>FinancialAnalysis[[#This Row],[Gross Profit]]/FinancialAnalysis[[#This Row],[Revenue]]</f>
        <v>0.43460000000000004</v>
      </c>
      <c r="P4" s="9">
        <f>FinancialAnalysis[[#This Row],[Operating Profit]]/FinancialAnalysis[[#This Row],[Revenue]]</f>
        <v>0.22310701588626927</v>
      </c>
      <c r="Q4" s="4">
        <f>FinancialAnalysis[[#This Row],[Revenue]]/FinancialAnalysis[[#This Row],[Units Sold]]</f>
        <v>71</v>
      </c>
      <c r="R4" s="4">
        <f>FinancialAnalysis[[#This Row],[Cost of Goods Sold]]/FinancialAnalysis[[#This Row],[Units Sold]]</f>
        <v>40.1434</v>
      </c>
      <c r="S4" s="9">
        <f>FinancialAnalysis[[#This Row],[Total Operating Expenses]]/FinancialAnalysis[[#This Row],[Revenue]]</f>
        <v>0.21149298411373074</v>
      </c>
      <c r="T4" s="3" t="str">
        <f>IF(FinancialAnalysis[[#This Row],[Operating Profit]]&gt;0,"Profitable","Not Profitable")</f>
        <v>Profitable</v>
      </c>
    </row>
    <row r="5" spans="1:20" x14ac:dyDescent="0.3">
      <c r="A5" t="s">
        <v>10</v>
      </c>
      <c r="B5" t="s">
        <v>22</v>
      </c>
      <c r="C5" t="s">
        <v>25</v>
      </c>
      <c r="D5" s="1">
        <v>2088</v>
      </c>
      <c r="E5" s="3">
        <v>415</v>
      </c>
      <c r="F5" s="2">
        <v>866520</v>
      </c>
      <c r="G5" s="3">
        <v>582214.78800000006</v>
      </c>
      <c r="H5" s="3">
        <v>64815.696000000004</v>
      </c>
      <c r="I5" s="3">
        <v>8127</v>
      </c>
      <c r="J5" s="3">
        <v>3628</v>
      </c>
      <c r="K5" s="8">
        <v>17677.008000000002</v>
      </c>
      <c r="L5" s="3">
        <f>SUM(FinancialAnalysis[[#This Row],[Marketing Expense]:[Other Expense]])</f>
        <v>94247.703999999998</v>
      </c>
      <c r="M5" s="3">
        <f>FinancialAnalysis[[#This Row],[Revenue]]-FinancialAnalysis[[#This Row],[Cost of Goods Sold]]</f>
        <v>284305.21199999994</v>
      </c>
      <c r="N5" s="11">
        <f>FinancialAnalysis[[#This Row],[Gross Profit]]-FinancialAnalysis[[#This Row],[Total Operating Expenses]]</f>
        <v>190057.50799999994</v>
      </c>
      <c r="O5" s="9">
        <f>FinancialAnalysis[[#This Row],[Gross Profit]]/FinancialAnalysis[[#This Row],[Revenue]]</f>
        <v>0.32809999999999995</v>
      </c>
      <c r="P5" s="9">
        <f>FinancialAnalysis[[#This Row],[Operating Profit]]/FinancialAnalysis[[#This Row],[Revenue]]</f>
        <v>0.21933424271799837</v>
      </c>
      <c r="Q5" s="4">
        <f>FinancialAnalysis[[#This Row],[Revenue]]/FinancialAnalysis[[#This Row],[Units Sold]]</f>
        <v>415</v>
      </c>
      <c r="R5" s="4">
        <f>FinancialAnalysis[[#This Row],[Cost of Goods Sold]]/FinancialAnalysis[[#This Row],[Units Sold]]</f>
        <v>278.83850000000001</v>
      </c>
      <c r="S5" s="9">
        <f>FinancialAnalysis[[#This Row],[Total Operating Expenses]]/FinancialAnalysis[[#This Row],[Revenue]]</f>
        <v>0.10876575728200157</v>
      </c>
      <c r="T5" s="3" t="str">
        <f>IF(FinancialAnalysis[[#This Row],[Operating Profit]]&gt;0,"Profitable","Not Profitable")</f>
        <v>Profitable</v>
      </c>
    </row>
    <row r="6" spans="1:20" x14ac:dyDescent="0.3">
      <c r="A6" t="s">
        <v>10</v>
      </c>
      <c r="B6" t="s">
        <v>22</v>
      </c>
      <c r="C6" t="s">
        <v>26</v>
      </c>
      <c r="D6" s="1">
        <v>1859</v>
      </c>
      <c r="E6" s="3">
        <v>36</v>
      </c>
      <c r="F6" s="2">
        <v>66924</v>
      </c>
      <c r="G6" s="3">
        <v>33348.229200000002</v>
      </c>
      <c r="H6" s="3">
        <v>4611.0636000000004</v>
      </c>
      <c r="I6" s="3">
        <v>5630</v>
      </c>
      <c r="J6" s="3">
        <v>3054</v>
      </c>
      <c r="K6" s="8">
        <v>3707.5895999999998</v>
      </c>
      <c r="L6" s="3">
        <f>SUM(FinancialAnalysis[[#This Row],[Marketing Expense]:[Other Expense]])</f>
        <v>17002.653200000001</v>
      </c>
      <c r="M6" s="3">
        <f>FinancialAnalysis[[#This Row],[Revenue]]-FinancialAnalysis[[#This Row],[Cost of Goods Sold]]</f>
        <v>33575.770799999998</v>
      </c>
      <c r="N6" s="11">
        <f>FinancialAnalysis[[#This Row],[Gross Profit]]-FinancialAnalysis[[#This Row],[Total Operating Expenses]]</f>
        <v>16573.117599999998</v>
      </c>
      <c r="O6" s="9">
        <f>FinancialAnalysis[[#This Row],[Gross Profit]]/FinancialAnalysis[[#This Row],[Revenue]]</f>
        <v>0.50169999999999992</v>
      </c>
      <c r="P6" s="9">
        <f>FinancialAnalysis[[#This Row],[Operating Profit]]/FinancialAnalysis[[#This Row],[Revenue]]</f>
        <v>0.2476408702408702</v>
      </c>
      <c r="Q6" s="4">
        <f>FinancialAnalysis[[#This Row],[Revenue]]/FinancialAnalysis[[#This Row],[Units Sold]]</f>
        <v>36</v>
      </c>
      <c r="R6" s="4">
        <f>FinancialAnalysis[[#This Row],[Cost of Goods Sold]]/FinancialAnalysis[[#This Row],[Units Sold]]</f>
        <v>17.938800000000001</v>
      </c>
      <c r="S6" s="9">
        <f>FinancialAnalysis[[#This Row],[Total Operating Expenses]]/FinancialAnalysis[[#This Row],[Revenue]]</f>
        <v>0.25405912975912975</v>
      </c>
      <c r="T6" s="3" t="str">
        <f>IF(FinancialAnalysis[[#This Row],[Operating Profit]]&gt;0,"Profitable","Not Profitable")</f>
        <v>Profitable</v>
      </c>
    </row>
    <row r="7" spans="1:20" x14ac:dyDescent="0.3">
      <c r="A7" t="s">
        <v>10</v>
      </c>
      <c r="B7" t="s">
        <v>27</v>
      </c>
      <c r="C7" t="s">
        <v>23</v>
      </c>
      <c r="D7" s="1">
        <v>1321</v>
      </c>
      <c r="E7" s="3">
        <v>226</v>
      </c>
      <c r="F7" s="2">
        <v>298546</v>
      </c>
      <c r="G7" s="3">
        <v>214803.84700000001</v>
      </c>
      <c r="H7" s="3">
        <v>18718.834200000001</v>
      </c>
      <c r="I7" s="3">
        <v>17326</v>
      </c>
      <c r="J7" s="3">
        <v>15411</v>
      </c>
      <c r="K7" s="8">
        <v>13882.388999999999</v>
      </c>
      <c r="L7" s="3">
        <f>SUM(FinancialAnalysis[[#This Row],[Marketing Expense]:[Other Expense]])</f>
        <v>65338.223199999993</v>
      </c>
      <c r="M7" s="3">
        <f>FinancialAnalysis[[#This Row],[Revenue]]-FinancialAnalysis[[#This Row],[Cost of Goods Sold]]</f>
        <v>83742.152999999991</v>
      </c>
      <c r="N7" s="11">
        <f>FinancialAnalysis[[#This Row],[Gross Profit]]-FinancialAnalysis[[#This Row],[Total Operating Expenses]]</f>
        <v>18403.929799999998</v>
      </c>
      <c r="O7" s="9">
        <f>FinancialAnalysis[[#This Row],[Gross Profit]]/FinancialAnalysis[[#This Row],[Revenue]]</f>
        <v>0.28049999999999997</v>
      </c>
      <c r="P7" s="9">
        <f>FinancialAnalysis[[#This Row],[Operating Profit]]/FinancialAnalysis[[#This Row],[Revenue]]</f>
        <v>6.1645206433849381E-2</v>
      </c>
      <c r="Q7" s="4">
        <f>FinancialAnalysis[[#This Row],[Revenue]]/FinancialAnalysis[[#This Row],[Units Sold]]</f>
        <v>226</v>
      </c>
      <c r="R7" s="4">
        <f>FinancialAnalysis[[#This Row],[Cost of Goods Sold]]/FinancialAnalysis[[#This Row],[Units Sold]]</f>
        <v>162.607</v>
      </c>
      <c r="S7" s="9">
        <f>FinancialAnalysis[[#This Row],[Total Operating Expenses]]/FinancialAnalysis[[#This Row],[Revenue]]</f>
        <v>0.21885479356615059</v>
      </c>
      <c r="T7" s="3" t="str">
        <f>IF(FinancialAnalysis[[#This Row],[Operating Profit]]&gt;0,"Profitable","Not Profitable")</f>
        <v>Profitable</v>
      </c>
    </row>
    <row r="8" spans="1:20" x14ac:dyDescent="0.3">
      <c r="A8" t="s">
        <v>10</v>
      </c>
      <c r="B8" t="s">
        <v>27</v>
      </c>
      <c r="C8" t="s">
        <v>29</v>
      </c>
      <c r="D8" s="1">
        <v>703</v>
      </c>
      <c r="E8" s="3">
        <v>61</v>
      </c>
      <c r="F8" s="2">
        <v>42883</v>
      </c>
      <c r="G8" s="3">
        <v>23426.982899999999</v>
      </c>
      <c r="H8" s="3">
        <v>2988.9450999999999</v>
      </c>
      <c r="I8" s="3">
        <v>9272</v>
      </c>
      <c r="J8" s="3">
        <v>8452</v>
      </c>
      <c r="K8" s="8">
        <v>1904.0052000000001</v>
      </c>
      <c r="L8" s="3">
        <f>SUM(FinancialAnalysis[[#This Row],[Marketing Expense]:[Other Expense]])</f>
        <v>22616.9503</v>
      </c>
      <c r="M8" s="3">
        <f>FinancialAnalysis[[#This Row],[Revenue]]-FinancialAnalysis[[#This Row],[Cost of Goods Sold]]</f>
        <v>19456.017100000001</v>
      </c>
      <c r="N8" s="11">
        <f>FinancialAnalysis[[#This Row],[Gross Profit]]-FinancialAnalysis[[#This Row],[Total Operating Expenses]]</f>
        <v>-3160.9331999999995</v>
      </c>
      <c r="O8" s="9">
        <f>FinancialAnalysis[[#This Row],[Gross Profit]]/FinancialAnalysis[[#This Row],[Revenue]]</f>
        <v>0.45370000000000005</v>
      </c>
      <c r="P8" s="9">
        <f>FinancialAnalysis[[#This Row],[Operating Profit]]/FinancialAnalysis[[#This Row],[Revenue]]</f>
        <v>-7.3710635916330466E-2</v>
      </c>
      <c r="Q8" s="4">
        <f>FinancialAnalysis[[#This Row],[Revenue]]/FinancialAnalysis[[#This Row],[Units Sold]]</f>
        <v>61</v>
      </c>
      <c r="R8" s="4">
        <f>FinancialAnalysis[[#This Row],[Cost of Goods Sold]]/FinancialAnalysis[[#This Row],[Units Sold]]</f>
        <v>33.324300000000001</v>
      </c>
      <c r="S8" s="9">
        <f>FinancialAnalysis[[#This Row],[Total Operating Expenses]]/FinancialAnalysis[[#This Row],[Revenue]]</f>
        <v>0.52741063591633053</v>
      </c>
      <c r="T8" s="3" t="str">
        <f>IF(FinancialAnalysis[[#This Row],[Operating Profit]]&gt;0,"Profitable","Not Profitable")</f>
        <v>Not Profitable</v>
      </c>
    </row>
    <row r="9" spans="1:20" x14ac:dyDescent="0.3">
      <c r="A9" t="s">
        <v>10</v>
      </c>
      <c r="B9" t="s">
        <v>27</v>
      </c>
      <c r="C9" t="s">
        <v>24</v>
      </c>
      <c r="D9" s="1">
        <v>1041</v>
      </c>
      <c r="E9" s="3">
        <v>38</v>
      </c>
      <c r="F9" s="2">
        <v>39558</v>
      </c>
      <c r="G9" s="3">
        <v>21863.706599999998</v>
      </c>
      <c r="H9" s="3">
        <v>2365.5684000000001</v>
      </c>
      <c r="I9" s="3">
        <v>8564</v>
      </c>
      <c r="J9" s="3">
        <v>15680</v>
      </c>
      <c r="K9" s="8">
        <v>2353.701</v>
      </c>
      <c r="L9" s="3">
        <f>SUM(FinancialAnalysis[[#This Row],[Marketing Expense]:[Other Expense]])</f>
        <v>28963.269400000001</v>
      </c>
      <c r="M9" s="3">
        <f>FinancialAnalysis[[#This Row],[Revenue]]-FinancialAnalysis[[#This Row],[Cost of Goods Sold]]</f>
        <v>17694.293400000002</v>
      </c>
      <c r="N9" s="11">
        <f>FinancialAnalysis[[#This Row],[Gross Profit]]-FinancialAnalysis[[#This Row],[Total Operating Expenses]]</f>
        <v>-11268.975999999999</v>
      </c>
      <c r="O9" s="9">
        <f>FinancialAnalysis[[#This Row],[Gross Profit]]/FinancialAnalysis[[#This Row],[Revenue]]</f>
        <v>0.44730000000000003</v>
      </c>
      <c r="P9" s="9">
        <f>FinancialAnalysis[[#This Row],[Operating Profit]]/FinancialAnalysis[[#This Row],[Revenue]]</f>
        <v>-0.28487223823246877</v>
      </c>
      <c r="Q9" s="4">
        <f>FinancialAnalysis[[#This Row],[Revenue]]/FinancialAnalysis[[#This Row],[Units Sold]]</f>
        <v>38</v>
      </c>
      <c r="R9" s="4">
        <f>FinancialAnalysis[[#This Row],[Cost of Goods Sold]]/FinancialAnalysis[[#This Row],[Units Sold]]</f>
        <v>21.002599999999997</v>
      </c>
      <c r="S9" s="9">
        <f>FinancialAnalysis[[#This Row],[Total Operating Expenses]]/FinancialAnalysis[[#This Row],[Revenue]]</f>
        <v>0.7321722382324688</v>
      </c>
      <c r="T9" s="3" t="str">
        <f>IF(FinancialAnalysis[[#This Row],[Operating Profit]]&gt;0,"Profitable","Not Profitable")</f>
        <v>Not Profitable</v>
      </c>
    </row>
    <row r="10" spans="1:20" x14ac:dyDescent="0.3">
      <c r="A10" t="s">
        <v>10</v>
      </c>
      <c r="B10" t="s">
        <v>27</v>
      </c>
      <c r="C10" t="s">
        <v>25</v>
      </c>
      <c r="D10" s="1">
        <v>852</v>
      </c>
      <c r="E10" s="3">
        <v>192</v>
      </c>
      <c r="F10" s="2">
        <v>163584</v>
      </c>
      <c r="G10" s="3">
        <v>103286.93759999999</v>
      </c>
      <c r="H10" s="3">
        <v>5676.3648000000003</v>
      </c>
      <c r="I10" s="3">
        <v>14006</v>
      </c>
      <c r="J10" s="3">
        <v>12582</v>
      </c>
      <c r="K10" s="8">
        <v>6232.5504000000001</v>
      </c>
      <c r="L10" s="3">
        <f>SUM(FinancialAnalysis[[#This Row],[Marketing Expense]:[Other Expense]])</f>
        <v>38496.915200000003</v>
      </c>
      <c r="M10" s="3">
        <f>FinancialAnalysis[[#This Row],[Revenue]]-FinancialAnalysis[[#This Row],[Cost of Goods Sold]]</f>
        <v>60297.06240000001</v>
      </c>
      <c r="N10" s="11">
        <f>FinancialAnalysis[[#This Row],[Gross Profit]]-FinancialAnalysis[[#This Row],[Total Operating Expenses]]</f>
        <v>21800.147200000007</v>
      </c>
      <c r="O10" s="9">
        <f>FinancialAnalysis[[#This Row],[Gross Profit]]/FinancialAnalysis[[#This Row],[Revenue]]</f>
        <v>0.36860000000000004</v>
      </c>
      <c r="P10" s="9">
        <f>FinancialAnalysis[[#This Row],[Operating Profit]]/FinancialAnalysis[[#This Row],[Revenue]]</f>
        <v>0.13326576682316124</v>
      </c>
      <c r="Q10" s="4">
        <f>FinancialAnalysis[[#This Row],[Revenue]]/FinancialAnalysis[[#This Row],[Units Sold]]</f>
        <v>192</v>
      </c>
      <c r="R10" s="4">
        <f>FinancialAnalysis[[#This Row],[Cost of Goods Sold]]/FinancialAnalysis[[#This Row],[Units Sold]]</f>
        <v>121.22879999999999</v>
      </c>
      <c r="S10" s="9">
        <f>FinancialAnalysis[[#This Row],[Total Operating Expenses]]/FinancialAnalysis[[#This Row],[Revenue]]</f>
        <v>0.23533423317683883</v>
      </c>
      <c r="T10" s="3" t="str">
        <f>IF(FinancialAnalysis[[#This Row],[Operating Profit]]&gt;0,"Profitable","Not Profitable")</f>
        <v>Profitable</v>
      </c>
    </row>
    <row r="11" spans="1:20" x14ac:dyDescent="0.3">
      <c r="A11" t="s">
        <v>10</v>
      </c>
      <c r="B11" t="s">
        <v>27</v>
      </c>
      <c r="C11" t="s">
        <v>26</v>
      </c>
      <c r="D11" s="1">
        <v>1164</v>
      </c>
      <c r="E11" s="3">
        <v>27</v>
      </c>
      <c r="F11" s="2">
        <v>31428</v>
      </c>
      <c r="G11" s="3">
        <v>19557.644399999997</v>
      </c>
      <c r="H11" s="3">
        <v>1382.8319999999999</v>
      </c>
      <c r="I11" s="3">
        <v>19539</v>
      </c>
      <c r="J11" s="3">
        <v>14355</v>
      </c>
      <c r="K11" s="8">
        <v>854.84159999999997</v>
      </c>
      <c r="L11" s="3">
        <f>SUM(FinancialAnalysis[[#This Row],[Marketing Expense]:[Other Expense]])</f>
        <v>36131.673599999995</v>
      </c>
      <c r="M11" s="3">
        <f>FinancialAnalysis[[#This Row],[Revenue]]-FinancialAnalysis[[#This Row],[Cost of Goods Sold]]</f>
        <v>11870.355600000003</v>
      </c>
      <c r="N11" s="11">
        <f>FinancialAnalysis[[#This Row],[Gross Profit]]-FinancialAnalysis[[#This Row],[Total Operating Expenses]]</f>
        <v>-24261.317999999992</v>
      </c>
      <c r="O11" s="9">
        <f>FinancialAnalysis[[#This Row],[Gross Profit]]/FinancialAnalysis[[#This Row],[Revenue]]</f>
        <v>0.37770000000000009</v>
      </c>
      <c r="P11" s="9">
        <f>FinancialAnalysis[[#This Row],[Operating Profit]]/FinancialAnalysis[[#This Row],[Revenue]]</f>
        <v>-0.7719650630011452</v>
      </c>
      <c r="Q11" s="4">
        <f>FinancialAnalysis[[#This Row],[Revenue]]/FinancialAnalysis[[#This Row],[Units Sold]]</f>
        <v>27</v>
      </c>
      <c r="R11" s="4">
        <f>FinancialAnalysis[[#This Row],[Cost of Goods Sold]]/FinancialAnalysis[[#This Row],[Units Sold]]</f>
        <v>16.802099999999999</v>
      </c>
      <c r="S11" s="9">
        <f>FinancialAnalysis[[#This Row],[Total Operating Expenses]]/FinancialAnalysis[[#This Row],[Revenue]]</f>
        <v>1.1496650630011453</v>
      </c>
      <c r="T11" s="3" t="str">
        <f>IF(FinancialAnalysis[[#This Row],[Operating Profit]]&gt;0,"Profitable","Not Profitable")</f>
        <v>Not Profitable</v>
      </c>
    </row>
    <row r="12" spans="1:20" x14ac:dyDescent="0.3">
      <c r="A12" t="s">
        <v>10</v>
      </c>
      <c r="B12" t="s">
        <v>28</v>
      </c>
      <c r="C12" t="s">
        <v>23</v>
      </c>
      <c r="D12" s="1">
        <v>3419</v>
      </c>
      <c r="E12" s="3">
        <v>147</v>
      </c>
      <c r="F12" s="2">
        <v>502593</v>
      </c>
      <c r="G12" s="3">
        <v>342416.61090000003</v>
      </c>
      <c r="H12" s="3">
        <v>12564.825000000001</v>
      </c>
      <c r="I12" s="3">
        <v>5082</v>
      </c>
      <c r="J12" s="3">
        <v>3086</v>
      </c>
      <c r="K12" s="8">
        <v>16334.272499999999</v>
      </c>
      <c r="L12" s="3">
        <f>SUM(FinancialAnalysis[[#This Row],[Marketing Expense]:[Other Expense]])</f>
        <v>37067.097500000003</v>
      </c>
      <c r="M12" s="3">
        <f>FinancialAnalysis[[#This Row],[Revenue]]-FinancialAnalysis[[#This Row],[Cost of Goods Sold]]</f>
        <v>160176.38909999997</v>
      </c>
      <c r="N12" s="11">
        <f>FinancialAnalysis[[#This Row],[Gross Profit]]-FinancialAnalysis[[#This Row],[Total Operating Expenses]]</f>
        <v>123109.29159999997</v>
      </c>
      <c r="O12" s="9">
        <f>FinancialAnalysis[[#This Row],[Gross Profit]]/FinancialAnalysis[[#This Row],[Revenue]]</f>
        <v>0.31869999999999993</v>
      </c>
      <c r="P12" s="9">
        <f>FinancialAnalysis[[#This Row],[Operating Profit]]/FinancialAnalysis[[#This Row],[Revenue]]</f>
        <v>0.24494828141259423</v>
      </c>
      <c r="Q12" s="4">
        <f>FinancialAnalysis[[#This Row],[Revenue]]/FinancialAnalysis[[#This Row],[Units Sold]]</f>
        <v>147</v>
      </c>
      <c r="R12" s="4">
        <f>FinancialAnalysis[[#This Row],[Cost of Goods Sold]]/FinancialAnalysis[[#This Row],[Units Sold]]</f>
        <v>100.15110000000001</v>
      </c>
      <c r="S12" s="9">
        <f>FinancialAnalysis[[#This Row],[Total Operating Expenses]]/FinancialAnalysis[[#This Row],[Revenue]]</f>
        <v>7.3751718587405715E-2</v>
      </c>
      <c r="T12" s="3" t="str">
        <f>IF(FinancialAnalysis[[#This Row],[Operating Profit]]&gt;0,"Profitable","Not Profitable")</f>
        <v>Profitable</v>
      </c>
    </row>
    <row r="13" spans="1:20" x14ac:dyDescent="0.3">
      <c r="A13" t="s">
        <v>10</v>
      </c>
      <c r="B13" t="s">
        <v>28</v>
      </c>
      <c r="C13" t="s">
        <v>29</v>
      </c>
      <c r="D13" s="1">
        <v>3277</v>
      </c>
      <c r="E13" s="3">
        <v>25</v>
      </c>
      <c r="F13" s="2">
        <v>81925</v>
      </c>
      <c r="G13" s="3">
        <v>48827.299999999996</v>
      </c>
      <c r="H13" s="3">
        <v>3539.1600000000003</v>
      </c>
      <c r="I13" s="3">
        <v>12480</v>
      </c>
      <c r="J13" s="3">
        <v>2328</v>
      </c>
      <c r="K13" s="8">
        <v>3309.77</v>
      </c>
      <c r="L13" s="3">
        <f>SUM(FinancialAnalysis[[#This Row],[Marketing Expense]:[Other Expense]])</f>
        <v>21656.93</v>
      </c>
      <c r="M13" s="3">
        <f>FinancialAnalysis[[#This Row],[Revenue]]-FinancialAnalysis[[#This Row],[Cost of Goods Sold]]</f>
        <v>33097.700000000004</v>
      </c>
      <c r="N13" s="11">
        <f>FinancialAnalysis[[#This Row],[Gross Profit]]-FinancialAnalysis[[#This Row],[Total Operating Expenses]]</f>
        <v>11440.770000000004</v>
      </c>
      <c r="O13" s="9">
        <f>FinancialAnalysis[[#This Row],[Gross Profit]]/FinancialAnalysis[[#This Row],[Revenue]]</f>
        <v>0.40400000000000003</v>
      </c>
      <c r="P13" s="9">
        <f>FinancialAnalysis[[#This Row],[Operating Profit]]/FinancialAnalysis[[#This Row],[Revenue]]</f>
        <v>0.13964931339639919</v>
      </c>
      <c r="Q13" s="4">
        <f>FinancialAnalysis[[#This Row],[Revenue]]/FinancialAnalysis[[#This Row],[Units Sold]]</f>
        <v>25</v>
      </c>
      <c r="R13" s="4">
        <f>FinancialAnalysis[[#This Row],[Cost of Goods Sold]]/FinancialAnalysis[[#This Row],[Units Sold]]</f>
        <v>14.899999999999999</v>
      </c>
      <c r="S13" s="9">
        <f>FinancialAnalysis[[#This Row],[Total Operating Expenses]]/FinancialAnalysis[[#This Row],[Revenue]]</f>
        <v>0.26435068660360084</v>
      </c>
      <c r="T13" s="3" t="str">
        <f>IF(FinancialAnalysis[[#This Row],[Operating Profit]]&gt;0,"Profitable","Not Profitable")</f>
        <v>Profitable</v>
      </c>
    </row>
    <row r="14" spans="1:20" x14ac:dyDescent="0.3">
      <c r="A14" t="s">
        <v>10</v>
      </c>
      <c r="B14" t="s">
        <v>28</v>
      </c>
      <c r="C14" t="s">
        <v>24</v>
      </c>
      <c r="D14" s="1">
        <v>1625</v>
      </c>
      <c r="E14" s="3">
        <v>32</v>
      </c>
      <c r="F14" s="2">
        <v>52000</v>
      </c>
      <c r="G14" s="3">
        <v>32650.799999999999</v>
      </c>
      <c r="H14" s="3">
        <v>2225.6</v>
      </c>
      <c r="I14" s="3">
        <v>11417</v>
      </c>
      <c r="J14" s="3">
        <v>6582</v>
      </c>
      <c r="K14" s="8">
        <v>3047.2</v>
      </c>
      <c r="L14" s="3">
        <f>SUM(FinancialAnalysis[[#This Row],[Marketing Expense]:[Other Expense]])</f>
        <v>23271.8</v>
      </c>
      <c r="M14" s="3">
        <f>FinancialAnalysis[[#This Row],[Revenue]]-FinancialAnalysis[[#This Row],[Cost of Goods Sold]]</f>
        <v>19349.2</v>
      </c>
      <c r="N14" s="11">
        <f>FinancialAnalysis[[#This Row],[Gross Profit]]-FinancialAnalysis[[#This Row],[Total Operating Expenses]]</f>
        <v>-3922.5999999999985</v>
      </c>
      <c r="O14" s="9">
        <f>FinancialAnalysis[[#This Row],[Gross Profit]]/FinancialAnalysis[[#This Row],[Revenue]]</f>
        <v>0.37209999999999999</v>
      </c>
      <c r="P14" s="9">
        <f>FinancialAnalysis[[#This Row],[Operating Profit]]/FinancialAnalysis[[#This Row],[Revenue]]</f>
        <v>-7.543461538461535E-2</v>
      </c>
      <c r="Q14" s="4">
        <f>FinancialAnalysis[[#This Row],[Revenue]]/FinancialAnalysis[[#This Row],[Units Sold]]</f>
        <v>32</v>
      </c>
      <c r="R14" s="4">
        <f>FinancialAnalysis[[#This Row],[Cost of Goods Sold]]/FinancialAnalysis[[#This Row],[Units Sold]]</f>
        <v>20.0928</v>
      </c>
      <c r="S14" s="9">
        <f>FinancialAnalysis[[#This Row],[Total Operating Expenses]]/FinancialAnalysis[[#This Row],[Revenue]]</f>
        <v>0.44753461538461536</v>
      </c>
      <c r="T14" s="3" t="str">
        <f>IF(FinancialAnalysis[[#This Row],[Operating Profit]]&gt;0,"Profitable","Not Profitable")</f>
        <v>Not Profitable</v>
      </c>
    </row>
    <row r="15" spans="1:20" x14ac:dyDescent="0.3">
      <c r="A15" t="s">
        <v>10</v>
      </c>
      <c r="B15" t="s">
        <v>28</v>
      </c>
      <c r="C15" t="s">
        <v>25</v>
      </c>
      <c r="D15" s="1">
        <v>2999</v>
      </c>
      <c r="E15" s="3">
        <v>315</v>
      </c>
      <c r="F15" s="2">
        <v>944685</v>
      </c>
      <c r="G15" s="3">
        <v>670820.81849999994</v>
      </c>
      <c r="H15" s="3">
        <v>34197.597000000002</v>
      </c>
      <c r="I15" s="3">
        <v>8563</v>
      </c>
      <c r="J15" s="3">
        <v>2083</v>
      </c>
      <c r="K15" s="8">
        <v>32213.7585</v>
      </c>
      <c r="L15" s="3">
        <f>SUM(FinancialAnalysis[[#This Row],[Marketing Expense]:[Other Expense]])</f>
        <v>77057.355500000005</v>
      </c>
      <c r="M15" s="3">
        <f>FinancialAnalysis[[#This Row],[Revenue]]-FinancialAnalysis[[#This Row],[Cost of Goods Sold]]</f>
        <v>273864.18150000006</v>
      </c>
      <c r="N15" s="11">
        <f>FinancialAnalysis[[#This Row],[Gross Profit]]-FinancialAnalysis[[#This Row],[Total Operating Expenses]]</f>
        <v>196806.82600000006</v>
      </c>
      <c r="O15" s="9">
        <f>FinancialAnalysis[[#This Row],[Gross Profit]]/FinancialAnalysis[[#This Row],[Revenue]]</f>
        <v>0.28990000000000005</v>
      </c>
      <c r="P15" s="9">
        <f>FinancialAnalysis[[#This Row],[Operating Profit]]/FinancialAnalysis[[#This Row],[Revenue]]</f>
        <v>0.20833063507941807</v>
      </c>
      <c r="Q15" s="4">
        <f>FinancialAnalysis[[#This Row],[Revenue]]/FinancialAnalysis[[#This Row],[Units Sold]]</f>
        <v>315</v>
      </c>
      <c r="R15" s="4">
        <f>FinancialAnalysis[[#This Row],[Cost of Goods Sold]]/FinancialAnalysis[[#This Row],[Units Sold]]</f>
        <v>223.68149999999997</v>
      </c>
      <c r="S15" s="9">
        <f>FinancialAnalysis[[#This Row],[Total Operating Expenses]]/FinancialAnalysis[[#This Row],[Revenue]]</f>
        <v>8.1569364920582005E-2</v>
      </c>
      <c r="T15" s="3" t="str">
        <f>IF(FinancialAnalysis[[#This Row],[Operating Profit]]&gt;0,"Profitable","Not Profitable")</f>
        <v>Profitable</v>
      </c>
    </row>
    <row r="16" spans="1:20" x14ac:dyDescent="0.3">
      <c r="A16" t="s">
        <v>10</v>
      </c>
      <c r="B16" t="s">
        <v>28</v>
      </c>
      <c r="C16" t="s">
        <v>26</v>
      </c>
      <c r="D16" s="1">
        <v>1345</v>
      </c>
      <c r="E16" s="3">
        <v>18</v>
      </c>
      <c r="F16" s="2">
        <v>24210</v>
      </c>
      <c r="G16" s="3">
        <v>14797.152</v>
      </c>
      <c r="H16" s="3">
        <v>1070.0820000000001</v>
      </c>
      <c r="I16" s="3">
        <v>5579</v>
      </c>
      <c r="J16" s="3">
        <v>5098</v>
      </c>
      <c r="K16" s="8">
        <v>1147.5540000000001</v>
      </c>
      <c r="L16" s="3">
        <f>SUM(FinancialAnalysis[[#This Row],[Marketing Expense]:[Other Expense]])</f>
        <v>12894.636</v>
      </c>
      <c r="M16" s="3">
        <f>FinancialAnalysis[[#This Row],[Revenue]]-FinancialAnalysis[[#This Row],[Cost of Goods Sold]]</f>
        <v>9412.848</v>
      </c>
      <c r="N16" s="11">
        <f>FinancialAnalysis[[#This Row],[Gross Profit]]-FinancialAnalysis[[#This Row],[Total Operating Expenses]]</f>
        <v>-3481.7880000000005</v>
      </c>
      <c r="O16" s="9">
        <f>FinancialAnalysis[[#This Row],[Gross Profit]]/FinancialAnalysis[[#This Row],[Revenue]]</f>
        <v>0.38879999999999998</v>
      </c>
      <c r="P16" s="9">
        <f>FinancialAnalysis[[#This Row],[Operating Profit]]/FinancialAnalysis[[#This Row],[Revenue]]</f>
        <v>-0.14381610904584885</v>
      </c>
      <c r="Q16" s="4">
        <f>FinancialAnalysis[[#This Row],[Revenue]]/FinancialAnalysis[[#This Row],[Units Sold]]</f>
        <v>18</v>
      </c>
      <c r="R16" s="4">
        <f>FinancialAnalysis[[#This Row],[Cost of Goods Sold]]/FinancialAnalysis[[#This Row],[Units Sold]]</f>
        <v>11.0016</v>
      </c>
      <c r="S16" s="9">
        <f>FinancialAnalysis[[#This Row],[Total Operating Expenses]]/FinancialAnalysis[[#This Row],[Revenue]]</f>
        <v>0.53261610904584888</v>
      </c>
      <c r="T16" s="3" t="str">
        <f>IF(FinancialAnalysis[[#This Row],[Operating Profit]]&gt;0,"Profitable","Not Profitable")</f>
        <v>Not Profitable</v>
      </c>
    </row>
    <row r="17" spans="1:20" x14ac:dyDescent="0.3">
      <c r="A17" t="s">
        <v>11</v>
      </c>
      <c r="B17" t="s">
        <v>22</v>
      </c>
      <c r="C17" t="s">
        <v>23</v>
      </c>
      <c r="D17" s="1">
        <v>2147</v>
      </c>
      <c r="E17" s="3">
        <v>85</v>
      </c>
      <c r="F17" s="2">
        <v>182495</v>
      </c>
      <c r="G17" s="3">
        <v>130757.66750000001</v>
      </c>
      <c r="H17" s="3">
        <v>20822.679499999998</v>
      </c>
      <c r="I17" s="3">
        <v>4278</v>
      </c>
      <c r="J17" s="3">
        <v>3905</v>
      </c>
      <c r="K17" s="8">
        <v>5073.3609999999999</v>
      </c>
      <c r="L17" s="3">
        <f>SUM(FinancialAnalysis[[#This Row],[Marketing Expense]:[Other Expense]])</f>
        <v>34079.040499999996</v>
      </c>
      <c r="M17" s="3">
        <f>FinancialAnalysis[[#This Row],[Revenue]]-FinancialAnalysis[[#This Row],[Cost of Goods Sold]]</f>
        <v>51737.33249999999</v>
      </c>
      <c r="N17" s="11">
        <f>FinancialAnalysis[[#This Row],[Gross Profit]]-FinancialAnalysis[[#This Row],[Total Operating Expenses]]</f>
        <v>17658.291999999994</v>
      </c>
      <c r="O17" s="9">
        <f>FinancialAnalysis[[#This Row],[Gross Profit]]/FinancialAnalysis[[#This Row],[Revenue]]</f>
        <v>0.28349999999999992</v>
      </c>
      <c r="P17" s="9">
        <f>FinancialAnalysis[[#This Row],[Operating Profit]]/FinancialAnalysis[[#This Row],[Revenue]]</f>
        <v>9.6760415353845275E-2</v>
      </c>
      <c r="Q17" s="4">
        <f>FinancialAnalysis[[#This Row],[Revenue]]/FinancialAnalysis[[#This Row],[Units Sold]]</f>
        <v>85</v>
      </c>
      <c r="R17" s="4">
        <f>FinancialAnalysis[[#This Row],[Cost of Goods Sold]]/FinancialAnalysis[[#This Row],[Units Sold]]</f>
        <v>60.902500000000003</v>
      </c>
      <c r="S17" s="9">
        <f>FinancialAnalysis[[#This Row],[Total Operating Expenses]]/FinancialAnalysis[[#This Row],[Revenue]]</f>
        <v>0.18673958464615467</v>
      </c>
      <c r="T17" s="3" t="str">
        <f>IF(FinancialAnalysis[[#This Row],[Operating Profit]]&gt;0,"Profitable","Not Profitable")</f>
        <v>Profitable</v>
      </c>
    </row>
    <row r="18" spans="1:20" x14ac:dyDescent="0.3">
      <c r="A18" t="s">
        <v>11</v>
      </c>
      <c r="B18" t="s">
        <v>22</v>
      </c>
      <c r="C18" t="s">
        <v>29</v>
      </c>
      <c r="D18" s="1">
        <v>1015</v>
      </c>
      <c r="E18" s="3">
        <v>41</v>
      </c>
      <c r="F18" s="2">
        <v>41615</v>
      </c>
      <c r="G18" s="3">
        <v>24061.793000000001</v>
      </c>
      <c r="H18" s="3">
        <v>3578.89</v>
      </c>
      <c r="I18" s="3">
        <v>9449</v>
      </c>
      <c r="J18" s="3">
        <v>3387</v>
      </c>
      <c r="K18" s="8">
        <v>1510.6244999999999</v>
      </c>
      <c r="L18" s="3">
        <f>SUM(FinancialAnalysis[[#This Row],[Marketing Expense]:[Other Expense]])</f>
        <v>17925.514499999997</v>
      </c>
      <c r="M18" s="3">
        <f>FinancialAnalysis[[#This Row],[Revenue]]-FinancialAnalysis[[#This Row],[Cost of Goods Sold]]</f>
        <v>17553.206999999999</v>
      </c>
      <c r="N18" s="11">
        <f>FinancialAnalysis[[#This Row],[Gross Profit]]-FinancialAnalysis[[#This Row],[Total Operating Expenses]]</f>
        <v>-372.30749999999898</v>
      </c>
      <c r="O18" s="9">
        <f>FinancialAnalysis[[#This Row],[Gross Profit]]/FinancialAnalysis[[#This Row],[Revenue]]</f>
        <v>0.42179999999999995</v>
      </c>
      <c r="P18" s="9">
        <f>FinancialAnalysis[[#This Row],[Operating Profit]]/FinancialAnalysis[[#This Row],[Revenue]]</f>
        <v>-8.9464736272978247E-3</v>
      </c>
      <c r="Q18" s="4">
        <f>FinancialAnalysis[[#This Row],[Revenue]]/FinancialAnalysis[[#This Row],[Units Sold]]</f>
        <v>41</v>
      </c>
      <c r="R18" s="4">
        <f>FinancialAnalysis[[#This Row],[Cost of Goods Sold]]/FinancialAnalysis[[#This Row],[Units Sold]]</f>
        <v>23.706200000000003</v>
      </c>
      <c r="S18" s="9">
        <f>FinancialAnalysis[[#This Row],[Total Operating Expenses]]/FinancialAnalysis[[#This Row],[Revenue]]</f>
        <v>0.43074647362729779</v>
      </c>
      <c r="T18" s="3" t="str">
        <f>IF(FinancialAnalysis[[#This Row],[Operating Profit]]&gt;0,"Profitable","Not Profitable")</f>
        <v>Not Profitable</v>
      </c>
    </row>
    <row r="19" spans="1:20" x14ac:dyDescent="0.3">
      <c r="A19" t="s">
        <v>11</v>
      </c>
      <c r="B19" t="s">
        <v>22</v>
      </c>
      <c r="C19" t="s">
        <v>24</v>
      </c>
      <c r="D19" s="1">
        <v>1693</v>
      </c>
      <c r="E19" s="3">
        <v>36</v>
      </c>
      <c r="F19" s="2">
        <v>60948</v>
      </c>
      <c r="G19" s="3">
        <v>36733.359600000003</v>
      </c>
      <c r="H19" s="3">
        <v>5521.8887999999997</v>
      </c>
      <c r="I19" s="3">
        <v>10784</v>
      </c>
      <c r="J19" s="3">
        <v>2065</v>
      </c>
      <c r="K19" s="8">
        <v>1999.0944</v>
      </c>
      <c r="L19" s="3">
        <f>SUM(FinancialAnalysis[[#This Row],[Marketing Expense]:[Other Expense]])</f>
        <v>20369.983200000002</v>
      </c>
      <c r="M19" s="3">
        <f>FinancialAnalysis[[#This Row],[Revenue]]-FinancialAnalysis[[#This Row],[Cost of Goods Sold]]</f>
        <v>24214.640399999997</v>
      </c>
      <c r="N19" s="11">
        <f>FinancialAnalysis[[#This Row],[Gross Profit]]-FinancialAnalysis[[#This Row],[Total Operating Expenses]]</f>
        <v>3844.6571999999942</v>
      </c>
      <c r="O19" s="9">
        <f>FinancialAnalysis[[#This Row],[Gross Profit]]/FinancialAnalysis[[#This Row],[Revenue]]</f>
        <v>0.39729999999999993</v>
      </c>
      <c r="P19" s="9">
        <f>FinancialAnalysis[[#This Row],[Operating Profit]]/FinancialAnalysis[[#This Row],[Revenue]]</f>
        <v>6.3080941130143633E-2</v>
      </c>
      <c r="Q19" s="4">
        <f>FinancialAnalysis[[#This Row],[Revenue]]/FinancialAnalysis[[#This Row],[Units Sold]]</f>
        <v>36</v>
      </c>
      <c r="R19" s="4">
        <f>FinancialAnalysis[[#This Row],[Cost of Goods Sold]]/FinancialAnalysis[[#This Row],[Units Sold]]</f>
        <v>21.697200000000002</v>
      </c>
      <c r="S19" s="9">
        <f>FinancialAnalysis[[#This Row],[Total Operating Expenses]]/FinancialAnalysis[[#This Row],[Revenue]]</f>
        <v>0.33421905886985631</v>
      </c>
      <c r="T19" s="3" t="str">
        <f>IF(FinancialAnalysis[[#This Row],[Operating Profit]]&gt;0,"Profitable","Not Profitable")</f>
        <v>Profitable</v>
      </c>
    </row>
    <row r="20" spans="1:20" x14ac:dyDescent="0.3">
      <c r="A20" t="s">
        <v>11</v>
      </c>
      <c r="B20" t="s">
        <v>22</v>
      </c>
      <c r="C20" t="s">
        <v>25</v>
      </c>
      <c r="D20" s="1">
        <v>1324</v>
      </c>
      <c r="E20" s="3">
        <v>213</v>
      </c>
      <c r="F20" s="2">
        <v>282012</v>
      </c>
      <c r="G20" s="3">
        <v>194475.47519999999</v>
      </c>
      <c r="H20" s="3">
        <v>32262.1728</v>
      </c>
      <c r="I20" s="3">
        <v>11190</v>
      </c>
      <c r="J20" s="3">
        <v>1630</v>
      </c>
      <c r="K20" s="8">
        <v>8855.1767999999993</v>
      </c>
      <c r="L20" s="3">
        <f>SUM(FinancialAnalysis[[#This Row],[Marketing Expense]:[Other Expense]])</f>
        <v>53937.349600000001</v>
      </c>
      <c r="M20" s="3">
        <f>FinancialAnalysis[[#This Row],[Revenue]]-FinancialAnalysis[[#This Row],[Cost of Goods Sold]]</f>
        <v>87536.524800000014</v>
      </c>
      <c r="N20" s="11">
        <f>FinancialAnalysis[[#This Row],[Gross Profit]]-FinancialAnalysis[[#This Row],[Total Operating Expenses]]</f>
        <v>33599.175200000012</v>
      </c>
      <c r="O20" s="9">
        <f>FinancialAnalysis[[#This Row],[Gross Profit]]/FinancialAnalysis[[#This Row],[Revenue]]</f>
        <v>0.31040000000000006</v>
      </c>
      <c r="P20" s="9">
        <f>FinancialAnalysis[[#This Row],[Operating Profit]]/FinancialAnalysis[[#This Row],[Revenue]]</f>
        <v>0.11914094152021905</v>
      </c>
      <c r="Q20" s="4">
        <f>FinancialAnalysis[[#This Row],[Revenue]]/FinancialAnalysis[[#This Row],[Units Sold]]</f>
        <v>213</v>
      </c>
      <c r="R20" s="4">
        <f>FinancialAnalysis[[#This Row],[Cost of Goods Sold]]/FinancialAnalysis[[#This Row],[Units Sold]]</f>
        <v>146.88479999999998</v>
      </c>
      <c r="S20" s="9">
        <f>FinancialAnalysis[[#This Row],[Total Operating Expenses]]/FinancialAnalysis[[#This Row],[Revenue]]</f>
        <v>0.191259058479781</v>
      </c>
      <c r="T20" s="3" t="str">
        <f>IF(FinancialAnalysis[[#This Row],[Operating Profit]]&gt;0,"Profitable","Not Profitable")</f>
        <v>Profitable</v>
      </c>
    </row>
    <row r="21" spans="1:20" x14ac:dyDescent="0.3">
      <c r="A21" t="s">
        <v>11</v>
      </c>
      <c r="B21" t="s">
        <v>22</v>
      </c>
      <c r="C21" t="s">
        <v>26</v>
      </c>
      <c r="D21" s="1">
        <v>1410</v>
      </c>
      <c r="E21" s="3">
        <v>87</v>
      </c>
      <c r="F21" s="2">
        <v>122670</v>
      </c>
      <c r="G21" s="3">
        <v>68474.394</v>
      </c>
      <c r="H21" s="3">
        <v>8218.8900000000012</v>
      </c>
      <c r="I21" s="3">
        <v>10173</v>
      </c>
      <c r="J21" s="3">
        <v>2566</v>
      </c>
      <c r="K21" s="8">
        <v>3557.43</v>
      </c>
      <c r="L21" s="3">
        <f>SUM(FinancialAnalysis[[#This Row],[Marketing Expense]:[Other Expense]])</f>
        <v>24515.32</v>
      </c>
      <c r="M21" s="3">
        <f>FinancialAnalysis[[#This Row],[Revenue]]-FinancialAnalysis[[#This Row],[Cost of Goods Sold]]</f>
        <v>54195.606</v>
      </c>
      <c r="N21" s="11">
        <f>FinancialAnalysis[[#This Row],[Gross Profit]]-FinancialAnalysis[[#This Row],[Total Operating Expenses]]</f>
        <v>29680.286</v>
      </c>
      <c r="O21" s="9">
        <f>FinancialAnalysis[[#This Row],[Gross Profit]]/FinancialAnalysis[[#This Row],[Revenue]]</f>
        <v>0.44179999999999997</v>
      </c>
      <c r="P21" s="9">
        <f>FinancialAnalysis[[#This Row],[Operating Profit]]/FinancialAnalysis[[#This Row],[Revenue]]</f>
        <v>0.24195227847069373</v>
      </c>
      <c r="Q21" s="4">
        <f>FinancialAnalysis[[#This Row],[Revenue]]/FinancialAnalysis[[#This Row],[Units Sold]]</f>
        <v>87</v>
      </c>
      <c r="R21" s="4">
        <f>FinancialAnalysis[[#This Row],[Cost of Goods Sold]]/FinancialAnalysis[[#This Row],[Units Sold]]</f>
        <v>48.563400000000001</v>
      </c>
      <c r="S21" s="9">
        <f>FinancialAnalysis[[#This Row],[Total Operating Expenses]]/FinancialAnalysis[[#This Row],[Revenue]]</f>
        <v>0.19984772152930627</v>
      </c>
      <c r="T21" s="3" t="str">
        <f>IF(FinancialAnalysis[[#This Row],[Operating Profit]]&gt;0,"Profitable","Not Profitable")</f>
        <v>Profitable</v>
      </c>
    </row>
    <row r="22" spans="1:20" x14ac:dyDescent="0.3">
      <c r="A22" t="s">
        <v>11</v>
      </c>
      <c r="B22" t="s">
        <v>27</v>
      </c>
      <c r="C22" t="s">
        <v>23</v>
      </c>
      <c r="D22" s="1">
        <v>503</v>
      </c>
      <c r="E22" s="3">
        <v>88</v>
      </c>
      <c r="F22" s="2">
        <v>44264</v>
      </c>
      <c r="G22" s="3">
        <v>27045.304</v>
      </c>
      <c r="H22" s="3">
        <v>1894.4992</v>
      </c>
      <c r="I22" s="3">
        <v>14733</v>
      </c>
      <c r="J22" s="3">
        <v>9312</v>
      </c>
      <c r="K22" s="8">
        <v>2208.7736</v>
      </c>
      <c r="L22" s="3">
        <f>SUM(FinancialAnalysis[[#This Row],[Marketing Expense]:[Other Expense]])</f>
        <v>28148.272799999999</v>
      </c>
      <c r="M22" s="3">
        <f>FinancialAnalysis[[#This Row],[Revenue]]-FinancialAnalysis[[#This Row],[Cost of Goods Sold]]</f>
        <v>17218.696</v>
      </c>
      <c r="N22" s="11">
        <f>FinancialAnalysis[[#This Row],[Gross Profit]]-FinancialAnalysis[[#This Row],[Total Operating Expenses]]</f>
        <v>-10929.576799999999</v>
      </c>
      <c r="O22" s="9">
        <f>FinancialAnalysis[[#This Row],[Gross Profit]]/FinancialAnalysis[[#This Row],[Revenue]]</f>
        <v>0.38900000000000001</v>
      </c>
      <c r="P22" s="9">
        <f>FinancialAnalysis[[#This Row],[Operating Profit]]/FinancialAnalysis[[#This Row],[Revenue]]</f>
        <v>-0.24691796493764681</v>
      </c>
      <c r="Q22" s="4">
        <f>FinancialAnalysis[[#This Row],[Revenue]]/FinancialAnalysis[[#This Row],[Units Sold]]</f>
        <v>88</v>
      </c>
      <c r="R22" s="4">
        <f>FinancialAnalysis[[#This Row],[Cost of Goods Sold]]/FinancialAnalysis[[#This Row],[Units Sold]]</f>
        <v>53.768000000000001</v>
      </c>
      <c r="S22" s="9">
        <f>FinancialAnalysis[[#This Row],[Total Operating Expenses]]/FinancialAnalysis[[#This Row],[Revenue]]</f>
        <v>0.63591796493764685</v>
      </c>
      <c r="T22" s="3" t="str">
        <f>IF(FinancialAnalysis[[#This Row],[Operating Profit]]&gt;0,"Profitable","Not Profitable")</f>
        <v>Not Profitable</v>
      </c>
    </row>
    <row r="23" spans="1:20" x14ac:dyDescent="0.3">
      <c r="A23" t="s">
        <v>11</v>
      </c>
      <c r="B23" t="s">
        <v>27</v>
      </c>
      <c r="C23" t="s">
        <v>29</v>
      </c>
      <c r="D23" s="1">
        <v>1355</v>
      </c>
      <c r="E23" s="3">
        <v>41</v>
      </c>
      <c r="F23" s="2">
        <v>55555</v>
      </c>
      <c r="G23" s="3">
        <v>27999.72</v>
      </c>
      <c r="H23" s="3">
        <v>2849.9715000000001</v>
      </c>
      <c r="I23" s="3">
        <v>9279</v>
      </c>
      <c r="J23" s="3">
        <v>11897</v>
      </c>
      <c r="K23" s="8">
        <v>1749.9825000000001</v>
      </c>
      <c r="L23" s="3">
        <f>SUM(FinancialAnalysis[[#This Row],[Marketing Expense]:[Other Expense]])</f>
        <v>25775.953999999998</v>
      </c>
      <c r="M23" s="3">
        <f>FinancialAnalysis[[#This Row],[Revenue]]-FinancialAnalysis[[#This Row],[Cost of Goods Sold]]</f>
        <v>27555.279999999999</v>
      </c>
      <c r="N23" s="11">
        <f>FinancialAnalysis[[#This Row],[Gross Profit]]-FinancialAnalysis[[#This Row],[Total Operating Expenses]]</f>
        <v>1779.3260000000009</v>
      </c>
      <c r="O23" s="9">
        <f>FinancialAnalysis[[#This Row],[Gross Profit]]/FinancialAnalysis[[#This Row],[Revenue]]</f>
        <v>0.496</v>
      </c>
      <c r="P23" s="9">
        <f>FinancialAnalysis[[#This Row],[Operating Profit]]/FinancialAnalysis[[#This Row],[Revenue]]</f>
        <v>3.2028188281882836E-2</v>
      </c>
      <c r="Q23" s="4">
        <f>FinancialAnalysis[[#This Row],[Revenue]]/FinancialAnalysis[[#This Row],[Units Sold]]</f>
        <v>41</v>
      </c>
      <c r="R23" s="4">
        <f>FinancialAnalysis[[#This Row],[Cost of Goods Sold]]/FinancialAnalysis[[#This Row],[Units Sold]]</f>
        <v>20.664000000000001</v>
      </c>
      <c r="S23" s="9">
        <f>FinancialAnalysis[[#This Row],[Total Operating Expenses]]/FinancialAnalysis[[#This Row],[Revenue]]</f>
        <v>0.46397181171811713</v>
      </c>
      <c r="T23" s="3" t="str">
        <f>IF(FinancialAnalysis[[#This Row],[Operating Profit]]&gt;0,"Profitable","Not Profitable")</f>
        <v>Profitable</v>
      </c>
    </row>
    <row r="24" spans="1:20" x14ac:dyDescent="0.3">
      <c r="A24" t="s">
        <v>11</v>
      </c>
      <c r="B24" t="s">
        <v>27</v>
      </c>
      <c r="C24" t="s">
        <v>24</v>
      </c>
      <c r="D24" s="1">
        <v>1046</v>
      </c>
      <c r="E24" s="3">
        <v>70</v>
      </c>
      <c r="F24" s="2">
        <v>73220</v>
      </c>
      <c r="G24" s="3">
        <v>43441.426000000007</v>
      </c>
      <c r="H24" s="3">
        <v>2372.328</v>
      </c>
      <c r="I24" s="3">
        <v>11087</v>
      </c>
      <c r="J24" s="3">
        <v>11164</v>
      </c>
      <c r="K24" s="8">
        <v>3909.9479999999999</v>
      </c>
      <c r="L24" s="3">
        <f>SUM(FinancialAnalysis[[#This Row],[Marketing Expense]:[Other Expense]])</f>
        <v>28533.276000000002</v>
      </c>
      <c r="M24" s="3">
        <f>FinancialAnalysis[[#This Row],[Revenue]]-FinancialAnalysis[[#This Row],[Cost of Goods Sold]]</f>
        <v>29778.573999999993</v>
      </c>
      <c r="N24" s="11">
        <f>FinancialAnalysis[[#This Row],[Gross Profit]]-FinancialAnalysis[[#This Row],[Total Operating Expenses]]</f>
        <v>1245.2979999999916</v>
      </c>
      <c r="O24" s="9">
        <f>FinancialAnalysis[[#This Row],[Gross Profit]]/FinancialAnalysis[[#This Row],[Revenue]]</f>
        <v>0.40669999999999989</v>
      </c>
      <c r="P24" s="9">
        <f>FinancialAnalysis[[#This Row],[Operating Profit]]/FinancialAnalysis[[#This Row],[Revenue]]</f>
        <v>1.7007620868615018E-2</v>
      </c>
      <c r="Q24" s="4">
        <f>FinancialAnalysis[[#This Row],[Revenue]]/FinancialAnalysis[[#This Row],[Units Sold]]</f>
        <v>70</v>
      </c>
      <c r="R24" s="4">
        <f>FinancialAnalysis[[#This Row],[Cost of Goods Sold]]/FinancialAnalysis[[#This Row],[Units Sold]]</f>
        <v>41.531000000000006</v>
      </c>
      <c r="S24" s="9">
        <f>FinancialAnalysis[[#This Row],[Total Operating Expenses]]/FinancialAnalysis[[#This Row],[Revenue]]</f>
        <v>0.38969237913138488</v>
      </c>
      <c r="T24" s="3" t="str">
        <f>IF(FinancialAnalysis[[#This Row],[Operating Profit]]&gt;0,"Profitable","Not Profitable")</f>
        <v>Profitable</v>
      </c>
    </row>
    <row r="25" spans="1:20" x14ac:dyDescent="0.3">
      <c r="A25" t="s">
        <v>11</v>
      </c>
      <c r="B25" t="s">
        <v>27</v>
      </c>
      <c r="C25" t="s">
        <v>25</v>
      </c>
      <c r="D25" s="1">
        <v>1308</v>
      </c>
      <c r="E25" s="3">
        <v>434</v>
      </c>
      <c r="F25" s="2">
        <v>567672</v>
      </c>
      <c r="G25" s="3">
        <v>430976.58240000001</v>
      </c>
      <c r="H25" s="3">
        <v>38601.696000000004</v>
      </c>
      <c r="I25" s="3">
        <v>10040</v>
      </c>
      <c r="J25" s="3">
        <v>14857</v>
      </c>
      <c r="K25" s="8">
        <v>21968.9064</v>
      </c>
      <c r="L25" s="3">
        <f>SUM(FinancialAnalysis[[#This Row],[Marketing Expense]:[Other Expense]])</f>
        <v>85467.602400000003</v>
      </c>
      <c r="M25" s="3">
        <f>FinancialAnalysis[[#This Row],[Revenue]]-FinancialAnalysis[[#This Row],[Cost of Goods Sold]]</f>
        <v>136695.41759999999</v>
      </c>
      <c r="N25" s="11">
        <f>FinancialAnalysis[[#This Row],[Gross Profit]]-FinancialAnalysis[[#This Row],[Total Operating Expenses]]</f>
        <v>51227.815199999983</v>
      </c>
      <c r="O25" s="9">
        <f>FinancialAnalysis[[#This Row],[Gross Profit]]/FinancialAnalysis[[#This Row],[Revenue]]</f>
        <v>0.24079999999999999</v>
      </c>
      <c r="P25" s="9">
        <f>FinancialAnalysis[[#This Row],[Operating Profit]]/FinancialAnalysis[[#This Row],[Revenue]]</f>
        <v>9.0241927028283903E-2</v>
      </c>
      <c r="Q25" s="4">
        <f>FinancialAnalysis[[#This Row],[Revenue]]/FinancialAnalysis[[#This Row],[Units Sold]]</f>
        <v>434</v>
      </c>
      <c r="R25" s="4">
        <f>FinancialAnalysis[[#This Row],[Cost of Goods Sold]]/FinancialAnalysis[[#This Row],[Units Sold]]</f>
        <v>329.49279999999999</v>
      </c>
      <c r="S25" s="9">
        <f>FinancialAnalysis[[#This Row],[Total Operating Expenses]]/FinancialAnalysis[[#This Row],[Revenue]]</f>
        <v>0.15055807297171606</v>
      </c>
      <c r="T25" s="3" t="str">
        <f>IF(FinancialAnalysis[[#This Row],[Operating Profit]]&gt;0,"Profitable","Not Profitable")</f>
        <v>Profitable</v>
      </c>
    </row>
    <row r="26" spans="1:20" x14ac:dyDescent="0.3">
      <c r="A26" t="s">
        <v>11</v>
      </c>
      <c r="B26" t="s">
        <v>27</v>
      </c>
      <c r="C26" t="s">
        <v>26</v>
      </c>
      <c r="D26" s="1">
        <v>686</v>
      </c>
      <c r="E26" s="3">
        <v>60</v>
      </c>
      <c r="F26" s="2">
        <v>41160</v>
      </c>
      <c r="G26" s="3">
        <v>26280.66</v>
      </c>
      <c r="H26" s="3">
        <v>1354.164</v>
      </c>
      <c r="I26" s="3">
        <v>19551</v>
      </c>
      <c r="J26" s="3">
        <v>11810</v>
      </c>
      <c r="K26" s="8">
        <v>1564.08</v>
      </c>
      <c r="L26" s="3">
        <f>SUM(FinancialAnalysis[[#This Row],[Marketing Expense]:[Other Expense]])</f>
        <v>34279.243999999999</v>
      </c>
      <c r="M26" s="3">
        <f>FinancialAnalysis[[#This Row],[Revenue]]-FinancialAnalysis[[#This Row],[Cost of Goods Sold]]</f>
        <v>14879.34</v>
      </c>
      <c r="N26" s="11">
        <f>FinancialAnalysis[[#This Row],[Gross Profit]]-FinancialAnalysis[[#This Row],[Total Operating Expenses]]</f>
        <v>-19399.903999999999</v>
      </c>
      <c r="O26" s="9">
        <f>FinancialAnalysis[[#This Row],[Gross Profit]]/FinancialAnalysis[[#This Row],[Revenue]]</f>
        <v>0.36149999999999999</v>
      </c>
      <c r="P26" s="9">
        <f>FinancialAnalysis[[#This Row],[Operating Profit]]/FinancialAnalysis[[#This Row],[Revenue]]</f>
        <v>-0.47132905733722058</v>
      </c>
      <c r="Q26" s="4">
        <f>FinancialAnalysis[[#This Row],[Revenue]]/FinancialAnalysis[[#This Row],[Units Sold]]</f>
        <v>60</v>
      </c>
      <c r="R26" s="4">
        <f>FinancialAnalysis[[#This Row],[Cost of Goods Sold]]/FinancialAnalysis[[#This Row],[Units Sold]]</f>
        <v>38.31</v>
      </c>
      <c r="S26" s="9">
        <f>FinancialAnalysis[[#This Row],[Total Operating Expenses]]/FinancialAnalysis[[#This Row],[Revenue]]</f>
        <v>0.83282905733722057</v>
      </c>
      <c r="T26" s="3" t="str">
        <f>IF(FinancialAnalysis[[#This Row],[Operating Profit]]&gt;0,"Profitable","Not Profitable")</f>
        <v>Not Profitable</v>
      </c>
    </row>
    <row r="27" spans="1:20" x14ac:dyDescent="0.3">
      <c r="A27" t="s">
        <v>11</v>
      </c>
      <c r="B27" t="s">
        <v>28</v>
      </c>
      <c r="C27" t="s">
        <v>23</v>
      </c>
      <c r="D27" s="1">
        <v>2377</v>
      </c>
      <c r="E27" s="3">
        <v>149</v>
      </c>
      <c r="F27" s="2">
        <v>354173</v>
      </c>
      <c r="G27" s="3">
        <v>230460.37109999999</v>
      </c>
      <c r="H27" s="3">
        <v>12431.472299999999</v>
      </c>
      <c r="I27" s="3">
        <v>5937</v>
      </c>
      <c r="J27" s="3">
        <v>6245</v>
      </c>
      <c r="K27" s="8">
        <v>13989.833500000001</v>
      </c>
      <c r="L27" s="3">
        <f>SUM(FinancialAnalysis[[#This Row],[Marketing Expense]:[Other Expense]])</f>
        <v>38603.305800000002</v>
      </c>
      <c r="M27" s="3">
        <f>FinancialAnalysis[[#This Row],[Revenue]]-FinancialAnalysis[[#This Row],[Cost of Goods Sold]]</f>
        <v>123712.62890000001</v>
      </c>
      <c r="N27" s="11">
        <f>FinancialAnalysis[[#This Row],[Gross Profit]]-FinancialAnalysis[[#This Row],[Total Operating Expenses]]</f>
        <v>85109.323100000009</v>
      </c>
      <c r="O27" s="9">
        <f>FinancialAnalysis[[#This Row],[Gross Profit]]/FinancialAnalysis[[#This Row],[Revenue]]</f>
        <v>0.34930000000000005</v>
      </c>
      <c r="P27" s="9">
        <f>FinancialAnalysis[[#This Row],[Operating Profit]]/FinancialAnalysis[[#This Row],[Revenue]]</f>
        <v>0.24030437978050279</v>
      </c>
      <c r="Q27" s="4">
        <f>FinancialAnalysis[[#This Row],[Revenue]]/FinancialAnalysis[[#This Row],[Units Sold]]</f>
        <v>149</v>
      </c>
      <c r="R27" s="4">
        <f>FinancialAnalysis[[#This Row],[Cost of Goods Sold]]/FinancialAnalysis[[#This Row],[Units Sold]]</f>
        <v>96.954299999999989</v>
      </c>
      <c r="S27" s="9">
        <f>FinancialAnalysis[[#This Row],[Total Operating Expenses]]/FinancialAnalysis[[#This Row],[Revenue]]</f>
        <v>0.10899562021949726</v>
      </c>
      <c r="T27" s="3" t="str">
        <f>IF(FinancialAnalysis[[#This Row],[Operating Profit]]&gt;0,"Profitable","Not Profitable")</f>
        <v>Profitable</v>
      </c>
    </row>
    <row r="28" spans="1:20" x14ac:dyDescent="0.3">
      <c r="A28" t="s">
        <v>11</v>
      </c>
      <c r="B28" t="s">
        <v>28</v>
      </c>
      <c r="C28" t="s">
        <v>29</v>
      </c>
      <c r="D28" s="1">
        <v>1116</v>
      </c>
      <c r="E28" s="3">
        <v>42</v>
      </c>
      <c r="F28" s="2">
        <v>46872</v>
      </c>
      <c r="G28" s="3">
        <v>27176.385599999998</v>
      </c>
      <c r="H28" s="3">
        <v>1617.0840000000001</v>
      </c>
      <c r="I28" s="3">
        <v>12987</v>
      </c>
      <c r="J28" s="3">
        <v>2884</v>
      </c>
      <c r="K28" s="8">
        <v>1260.8568</v>
      </c>
      <c r="L28" s="3">
        <f>SUM(FinancialAnalysis[[#This Row],[Marketing Expense]:[Other Expense]])</f>
        <v>18748.940800000004</v>
      </c>
      <c r="M28" s="3">
        <f>FinancialAnalysis[[#This Row],[Revenue]]-FinancialAnalysis[[#This Row],[Cost of Goods Sold]]</f>
        <v>19695.614400000002</v>
      </c>
      <c r="N28" s="11">
        <f>FinancialAnalysis[[#This Row],[Gross Profit]]-FinancialAnalysis[[#This Row],[Total Operating Expenses]]</f>
        <v>946.67359999999826</v>
      </c>
      <c r="O28" s="9">
        <f>FinancialAnalysis[[#This Row],[Gross Profit]]/FinancialAnalysis[[#This Row],[Revenue]]</f>
        <v>0.42020000000000007</v>
      </c>
      <c r="P28" s="9">
        <f>FinancialAnalysis[[#This Row],[Operating Profit]]/FinancialAnalysis[[#This Row],[Revenue]]</f>
        <v>2.0196996074415392E-2</v>
      </c>
      <c r="Q28" s="4">
        <f>FinancialAnalysis[[#This Row],[Revenue]]/FinancialAnalysis[[#This Row],[Units Sold]]</f>
        <v>42</v>
      </c>
      <c r="R28" s="4">
        <f>FinancialAnalysis[[#This Row],[Cost of Goods Sold]]/FinancialAnalysis[[#This Row],[Units Sold]]</f>
        <v>24.351599999999998</v>
      </c>
      <c r="S28" s="9">
        <f>FinancialAnalysis[[#This Row],[Total Operating Expenses]]/FinancialAnalysis[[#This Row],[Revenue]]</f>
        <v>0.40000300392558463</v>
      </c>
      <c r="T28" s="3" t="str">
        <f>IF(FinancialAnalysis[[#This Row],[Operating Profit]]&gt;0,"Profitable","Not Profitable")</f>
        <v>Profitable</v>
      </c>
    </row>
    <row r="29" spans="1:20" x14ac:dyDescent="0.3">
      <c r="A29" t="s">
        <v>11</v>
      </c>
      <c r="B29" t="s">
        <v>28</v>
      </c>
      <c r="C29" t="s">
        <v>24</v>
      </c>
      <c r="D29" s="1">
        <v>2676</v>
      </c>
      <c r="E29" s="3">
        <v>102</v>
      </c>
      <c r="F29" s="2">
        <v>272952</v>
      </c>
      <c r="G29" s="3">
        <v>138632.32080000002</v>
      </c>
      <c r="H29" s="3">
        <v>9498.7295999999988</v>
      </c>
      <c r="I29" s="3">
        <v>6492</v>
      </c>
      <c r="J29" s="3">
        <v>2818</v>
      </c>
      <c r="K29" s="8">
        <v>8215.8552</v>
      </c>
      <c r="L29" s="3">
        <f>SUM(FinancialAnalysis[[#This Row],[Marketing Expense]:[Other Expense]])</f>
        <v>27024.584799999997</v>
      </c>
      <c r="M29" s="3">
        <f>FinancialAnalysis[[#This Row],[Revenue]]-FinancialAnalysis[[#This Row],[Cost of Goods Sold]]</f>
        <v>134319.67919999998</v>
      </c>
      <c r="N29" s="11">
        <f>FinancialAnalysis[[#This Row],[Gross Profit]]-FinancialAnalysis[[#This Row],[Total Operating Expenses]]</f>
        <v>107295.09439999999</v>
      </c>
      <c r="O29" s="9">
        <f>FinancialAnalysis[[#This Row],[Gross Profit]]/FinancialAnalysis[[#This Row],[Revenue]]</f>
        <v>0.49209999999999993</v>
      </c>
      <c r="P29" s="9">
        <f>FinancialAnalysis[[#This Row],[Operating Profit]]/FinancialAnalysis[[#This Row],[Revenue]]</f>
        <v>0.39309143878777214</v>
      </c>
      <c r="Q29" s="4">
        <f>FinancialAnalysis[[#This Row],[Revenue]]/FinancialAnalysis[[#This Row],[Units Sold]]</f>
        <v>102</v>
      </c>
      <c r="R29" s="4">
        <f>FinancialAnalysis[[#This Row],[Cost of Goods Sold]]/FinancialAnalysis[[#This Row],[Units Sold]]</f>
        <v>51.805800000000005</v>
      </c>
      <c r="S29" s="9">
        <f>FinancialAnalysis[[#This Row],[Total Operating Expenses]]/FinancialAnalysis[[#This Row],[Revenue]]</f>
        <v>9.9008561212227786E-2</v>
      </c>
      <c r="T29" s="3" t="str">
        <f>IF(FinancialAnalysis[[#This Row],[Operating Profit]]&gt;0,"Profitable","Not Profitable")</f>
        <v>Profitable</v>
      </c>
    </row>
    <row r="30" spans="1:20" x14ac:dyDescent="0.3">
      <c r="A30" t="s">
        <v>11</v>
      </c>
      <c r="B30" t="s">
        <v>28</v>
      </c>
      <c r="C30" t="s">
        <v>25</v>
      </c>
      <c r="D30" s="1">
        <v>3323</v>
      </c>
      <c r="E30" s="3">
        <v>483</v>
      </c>
      <c r="F30" s="2">
        <v>1605009</v>
      </c>
      <c r="G30" s="3">
        <v>1196052.7068</v>
      </c>
      <c r="H30" s="3">
        <v>60669.340199999999</v>
      </c>
      <c r="I30" s="3">
        <v>13653</v>
      </c>
      <c r="J30" s="3">
        <v>4798</v>
      </c>
      <c r="K30" s="8">
        <v>57619.823100000001</v>
      </c>
      <c r="L30" s="3">
        <f>SUM(FinancialAnalysis[[#This Row],[Marketing Expense]:[Other Expense]])</f>
        <v>136740.16330000001</v>
      </c>
      <c r="M30" s="3">
        <f>FinancialAnalysis[[#This Row],[Revenue]]-FinancialAnalysis[[#This Row],[Cost of Goods Sold]]</f>
        <v>408956.29319999996</v>
      </c>
      <c r="N30" s="11">
        <f>FinancialAnalysis[[#This Row],[Gross Profit]]-FinancialAnalysis[[#This Row],[Total Operating Expenses]]</f>
        <v>272216.12989999994</v>
      </c>
      <c r="O30" s="9">
        <f>FinancialAnalysis[[#This Row],[Gross Profit]]/FinancialAnalysis[[#This Row],[Revenue]]</f>
        <v>0.25479999999999997</v>
      </c>
      <c r="P30" s="9">
        <f>FinancialAnalysis[[#This Row],[Operating Profit]]/FinancialAnalysis[[#This Row],[Revenue]]</f>
        <v>0.16960411430714714</v>
      </c>
      <c r="Q30" s="4">
        <f>FinancialAnalysis[[#This Row],[Revenue]]/FinancialAnalysis[[#This Row],[Units Sold]]</f>
        <v>483</v>
      </c>
      <c r="R30" s="4">
        <f>FinancialAnalysis[[#This Row],[Cost of Goods Sold]]/FinancialAnalysis[[#This Row],[Units Sold]]</f>
        <v>359.9316</v>
      </c>
      <c r="S30" s="9">
        <f>FinancialAnalysis[[#This Row],[Total Operating Expenses]]/FinancialAnalysis[[#This Row],[Revenue]]</f>
        <v>8.5195885692852816E-2</v>
      </c>
      <c r="T30" s="3" t="str">
        <f>IF(FinancialAnalysis[[#This Row],[Operating Profit]]&gt;0,"Profitable","Not Profitable")</f>
        <v>Profitable</v>
      </c>
    </row>
    <row r="31" spans="1:20" x14ac:dyDescent="0.3">
      <c r="A31" t="s">
        <v>11</v>
      </c>
      <c r="B31" t="s">
        <v>28</v>
      </c>
      <c r="C31" t="s">
        <v>26</v>
      </c>
      <c r="D31" s="1">
        <v>1136</v>
      </c>
      <c r="E31" s="3">
        <v>72</v>
      </c>
      <c r="F31" s="2">
        <v>81792</v>
      </c>
      <c r="G31" s="3">
        <v>49549.5936</v>
      </c>
      <c r="H31" s="3">
        <v>3238.9632000000001</v>
      </c>
      <c r="I31" s="3">
        <v>12344</v>
      </c>
      <c r="J31" s="3">
        <v>5358</v>
      </c>
      <c r="K31" s="8">
        <v>4899.3407999999999</v>
      </c>
      <c r="L31" s="3">
        <f>SUM(FinancialAnalysis[[#This Row],[Marketing Expense]:[Other Expense]])</f>
        <v>25840.303999999996</v>
      </c>
      <c r="M31" s="3">
        <f>FinancialAnalysis[[#This Row],[Revenue]]-FinancialAnalysis[[#This Row],[Cost of Goods Sold]]</f>
        <v>32242.4064</v>
      </c>
      <c r="N31" s="11">
        <f>FinancialAnalysis[[#This Row],[Gross Profit]]-FinancialAnalysis[[#This Row],[Total Operating Expenses]]</f>
        <v>6402.1024000000034</v>
      </c>
      <c r="O31" s="9">
        <f>FinancialAnalysis[[#This Row],[Gross Profit]]/FinancialAnalysis[[#This Row],[Revenue]]</f>
        <v>0.39419999999999999</v>
      </c>
      <c r="P31" s="9">
        <f>FinancialAnalysis[[#This Row],[Operating Profit]]/FinancialAnalysis[[#This Row],[Revenue]]</f>
        <v>7.8272965571205055E-2</v>
      </c>
      <c r="Q31" s="4">
        <f>FinancialAnalysis[[#This Row],[Revenue]]/FinancialAnalysis[[#This Row],[Units Sold]]</f>
        <v>72</v>
      </c>
      <c r="R31" s="4">
        <f>FinancialAnalysis[[#This Row],[Cost of Goods Sold]]/FinancialAnalysis[[#This Row],[Units Sold]]</f>
        <v>43.617600000000003</v>
      </c>
      <c r="S31" s="9">
        <f>FinancialAnalysis[[#This Row],[Total Operating Expenses]]/FinancialAnalysis[[#This Row],[Revenue]]</f>
        <v>0.31592703442879494</v>
      </c>
      <c r="T31" s="3" t="str">
        <f>IF(FinancialAnalysis[[#This Row],[Operating Profit]]&gt;0,"Profitable","Not Profitable")</f>
        <v>Profitable</v>
      </c>
    </row>
    <row r="32" spans="1:20" x14ac:dyDescent="0.3">
      <c r="A32" t="s">
        <v>12</v>
      </c>
      <c r="B32" t="s">
        <v>22</v>
      </c>
      <c r="C32" t="s">
        <v>23</v>
      </c>
      <c r="D32" s="1">
        <v>623</v>
      </c>
      <c r="E32" s="3">
        <v>195</v>
      </c>
      <c r="F32" s="2">
        <v>121485</v>
      </c>
      <c r="G32" s="3">
        <v>86327.240999999995</v>
      </c>
      <c r="H32" s="3">
        <v>14116.556999999999</v>
      </c>
      <c r="I32" s="3">
        <v>7715</v>
      </c>
      <c r="J32" s="3">
        <v>1766</v>
      </c>
      <c r="K32" s="8">
        <v>3389.4315000000001</v>
      </c>
      <c r="L32" s="3">
        <f>SUM(FinancialAnalysis[[#This Row],[Marketing Expense]:[Other Expense]])</f>
        <v>26986.988499999999</v>
      </c>
      <c r="M32" s="3">
        <f>FinancialAnalysis[[#This Row],[Revenue]]-FinancialAnalysis[[#This Row],[Cost of Goods Sold]]</f>
        <v>35157.759000000005</v>
      </c>
      <c r="N32" s="11">
        <f>FinancialAnalysis[[#This Row],[Gross Profit]]-FinancialAnalysis[[#This Row],[Total Operating Expenses]]</f>
        <v>8170.770500000006</v>
      </c>
      <c r="O32" s="9">
        <f>FinancialAnalysis[[#This Row],[Gross Profit]]/FinancialAnalysis[[#This Row],[Revenue]]</f>
        <v>0.28940000000000005</v>
      </c>
      <c r="P32" s="9">
        <f>FinancialAnalysis[[#This Row],[Operating Profit]]/FinancialAnalysis[[#This Row],[Revenue]]</f>
        <v>6.7257443305757961E-2</v>
      </c>
      <c r="Q32" s="4">
        <f>FinancialAnalysis[[#This Row],[Revenue]]/FinancialAnalysis[[#This Row],[Units Sold]]</f>
        <v>195</v>
      </c>
      <c r="R32" s="4">
        <f>FinancialAnalysis[[#This Row],[Cost of Goods Sold]]/FinancialAnalysis[[#This Row],[Units Sold]]</f>
        <v>138.56699999999998</v>
      </c>
      <c r="S32" s="9">
        <f>FinancialAnalysis[[#This Row],[Total Operating Expenses]]/FinancialAnalysis[[#This Row],[Revenue]]</f>
        <v>0.22214255669424207</v>
      </c>
      <c r="T32" s="3" t="str">
        <f>IF(FinancialAnalysis[[#This Row],[Operating Profit]]&gt;0,"Profitable","Not Profitable")</f>
        <v>Profitable</v>
      </c>
    </row>
    <row r="33" spans="1:20" x14ac:dyDescent="0.3">
      <c r="A33" t="s">
        <v>12</v>
      </c>
      <c r="B33" t="s">
        <v>22</v>
      </c>
      <c r="C33" t="s">
        <v>29</v>
      </c>
      <c r="D33" s="1">
        <v>980</v>
      </c>
      <c r="E33" s="3">
        <v>43</v>
      </c>
      <c r="F33" s="2">
        <v>42140</v>
      </c>
      <c r="G33" s="3">
        <v>20496.896000000001</v>
      </c>
      <c r="H33" s="3">
        <v>4028.5840000000003</v>
      </c>
      <c r="I33" s="3">
        <v>7979</v>
      </c>
      <c r="J33" s="3">
        <v>2975</v>
      </c>
      <c r="K33" s="8">
        <v>1538.11</v>
      </c>
      <c r="L33" s="3">
        <f>SUM(FinancialAnalysis[[#This Row],[Marketing Expense]:[Other Expense]])</f>
        <v>16520.694</v>
      </c>
      <c r="M33" s="3">
        <f>FinancialAnalysis[[#This Row],[Revenue]]-FinancialAnalysis[[#This Row],[Cost of Goods Sold]]</f>
        <v>21643.103999999999</v>
      </c>
      <c r="N33" s="11">
        <f>FinancialAnalysis[[#This Row],[Gross Profit]]-FinancialAnalysis[[#This Row],[Total Operating Expenses]]</f>
        <v>5122.41</v>
      </c>
      <c r="O33" s="9">
        <f>FinancialAnalysis[[#This Row],[Gross Profit]]/FinancialAnalysis[[#This Row],[Revenue]]</f>
        <v>0.51359999999999995</v>
      </c>
      <c r="P33" s="9">
        <f>FinancialAnalysis[[#This Row],[Operating Profit]]/FinancialAnalysis[[#This Row],[Revenue]]</f>
        <v>0.12155695301376364</v>
      </c>
      <c r="Q33" s="4">
        <f>FinancialAnalysis[[#This Row],[Revenue]]/FinancialAnalysis[[#This Row],[Units Sold]]</f>
        <v>43</v>
      </c>
      <c r="R33" s="4">
        <f>FinancialAnalysis[[#This Row],[Cost of Goods Sold]]/FinancialAnalysis[[#This Row],[Units Sold]]</f>
        <v>20.915200000000002</v>
      </c>
      <c r="S33" s="9">
        <f>FinancialAnalysis[[#This Row],[Total Operating Expenses]]/FinancialAnalysis[[#This Row],[Revenue]]</f>
        <v>0.39204304698623632</v>
      </c>
      <c r="T33" s="3" t="str">
        <f>IF(FinancialAnalysis[[#This Row],[Operating Profit]]&gt;0,"Profitable","Not Profitable")</f>
        <v>Profitable</v>
      </c>
    </row>
    <row r="34" spans="1:20" x14ac:dyDescent="0.3">
      <c r="A34" t="s">
        <v>12</v>
      </c>
      <c r="B34" t="s">
        <v>22</v>
      </c>
      <c r="C34" t="s">
        <v>24</v>
      </c>
      <c r="D34" s="1">
        <v>657</v>
      </c>
      <c r="E34" s="3">
        <v>109</v>
      </c>
      <c r="F34" s="2">
        <v>71613</v>
      </c>
      <c r="G34" s="3">
        <v>42294.637800000004</v>
      </c>
      <c r="H34" s="3">
        <v>7992.0108</v>
      </c>
      <c r="I34" s="3">
        <v>9435</v>
      </c>
      <c r="J34" s="3">
        <v>2398</v>
      </c>
      <c r="K34" s="8">
        <v>2262.9708000000001</v>
      </c>
      <c r="L34" s="3">
        <f>SUM(FinancialAnalysis[[#This Row],[Marketing Expense]:[Other Expense]])</f>
        <v>22087.981599999999</v>
      </c>
      <c r="M34" s="3">
        <f>FinancialAnalysis[[#This Row],[Revenue]]-FinancialAnalysis[[#This Row],[Cost of Goods Sold]]</f>
        <v>29318.362199999996</v>
      </c>
      <c r="N34" s="11">
        <f>FinancialAnalysis[[#This Row],[Gross Profit]]-FinancialAnalysis[[#This Row],[Total Operating Expenses]]</f>
        <v>7230.3805999999968</v>
      </c>
      <c r="O34" s="9">
        <f>FinancialAnalysis[[#This Row],[Gross Profit]]/FinancialAnalysis[[#This Row],[Revenue]]</f>
        <v>0.40939999999999993</v>
      </c>
      <c r="P34" s="9">
        <f>FinancialAnalysis[[#This Row],[Operating Profit]]/FinancialAnalysis[[#This Row],[Revenue]]</f>
        <v>0.10096463770544449</v>
      </c>
      <c r="Q34" s="4">
        <f>FinancialAnalysis[[#This Row],[Revenue]]/FinancialAnalysis[[#This Row],[Units Sold]]</f>
        <v>109</v>
      </c>
      <c r="R34" s="4">
        <f>FinancialAnalysis[[#This Row],[Cost of Goods Sold]]/FinancialAnalysis[[#This Row],[Units Sold]]</f>
        <v>64.375400000000013</v>
      </c>
      <c r="S34" s="9">
        <f>FinancialAnalysis[[#This Row],[Total Operating Expenses]]/FinancialAnalysis[[#This Row],[Revenue]]</f>
        <v>0.30843536229455543</v>
      </c>
      <c r="T34" s="3" t="str">
        <f>IF(FinancialAnalysis[[#This Row],[Operating Profit]]&gt;0,"Profitable","Not Profitable")</f>
        <v>Profitable</v>
      </c>
    </row>
    <row r="35" spans="1:20" x14ac:dyDescent="0.3">
      <c r="A35" t="s">
        <v>12</v>
      </c>
      <c r="B35" t="s">
        <v>22</v>
      </c>
      <c r="C35" t="s">
        <v>25</v>
      </c>
      <c r="D35" s="1">
        <v>1785</v>
      </c>
      <c r="E35" s="3">
        <v>176</v>
      </c>
      <c r="F35" s="2">
        <v>314160</v>
      </c>
      <c r="G35" s="3">
        <v>207911.08800000002</v>
      </c>
      <c r="H35" s="3">
        <v>20985.887999999999</v>
      </c>
      <c r="I35" s="3">
        <v>6125</v>
      </c>
      <c r="J35" s="3">
        <v>1984</v>
      </c>
      <c r="K35" s="8">
        <v>7728.3360000000002</v>
      </c>
      <c r="L35" s="3">
        <f>SUM(FinancialAnalysis[[#This Row],[Marketing Expense]:[Other Expense]])</f>
        <v>36823.224000000002</v>
      </c>
      <c r="M35" s="3">
        <f>FinancialAnalysis[[#This Row],[Revenue]]-FinancialAnalysis[[#This Row],[Cost of Goods Sold]]</f>
        <v>106248.91199999998</v>
      </c>
      <c r="N35" s="11">
        <f>FinancialAnalysis[[#This Row],[Gross Profit]]-FinancialAnalysis[[#This Row],[Total Operating Expenses]]</f>
        <v>69425.68799999998</v>
      </c>
      <c r="O35" s="9">
        <f>FinancialAnalysis[[#This Row],[Gross Profit]]/FinancialAnalysis[[#This Row],[Revenue]]</f>
        <v>0.33819999999999995</v>
      </c>
      <c r="P35" s="9">
        <f>FinancialAnalysis[[#This Row],[Operating Profit]]/FinancialAnalysis[[#This Row],[Revenue]]</f>
        <v>0.22098831168831162</v>
      </c>
      <c r="Q35" s="4">
        <f>FinancialAnalysis[[#This Row],[Revenue]]/FinancialAnalysis[[#This Row],[Units Sold]]</f>
        <v>176</v>
      </c>
      <c r="R35" s="4">
        <f>FinancialAnalysis[[#This Row],[Cost of Goods Sold]]/FinancialAnalysis[[#This Row],[Units Sold]]</f>
        <v>116.47680000000001</v>
      </c>
      <c r="S35" s="9">
        <f>FinancialAnalysis[[#This Row],[Total Operating Expenses]]/FinancialAnalysis[[#This Row],[Revenue]]</f>
        <v>0.11721168831168832</v>
      </c>
      <c r="T35" s="3" t="str">
        <f>IF(FinancialAnalysis[[#This Row],[Operating Profit]]&gt;0,"Profitable","Not Profitable")</f>
        <v>Profitable</v>
      </c>
    </row>
    <row r="36" spans="1:20" x14ac:dyDescent="0.3">
      <c r="A36" t="s">
        <v>12</v>
      </c>
      <c r="B36" t="s">
        <v>22</v>
      </c>
      <c r="C36" t="s">
        <v>26</v>
      </c>
      <c r="D36" s="1">
        <v>1248</v>
      </c>
      <c r="E36" s="3">
        <v>88</v>
      </c>
      <c r="F36" s="2">
        <v>109824</v>
      </c>
      <c r="G36" s="3">
        <v>58733.875200000002</v>
      </c>
      <c r="H36" s="3">
        <v>10389.350400000001</v>
      </c>
      <c r="I36" s="3">
        <v>10034</v>
      </c>
      <c r="J36" s="3">
        <v>1889</v>
      </c>
      <c r="K36" s="8">
        <v>4986.0096000000003</v>
      </c>
      <c r="L36" s="3">
        <f>SUM(FinancialAnalysis[[#This Row],[Marketing Expense]:[Other Expense]])</f>
        <v>27298.360000000004</v>
      </c>
      <c r="M36" s="3">
        <f>FinancialAnalysis[[#This Row],[Revenue]]-FinancialAnalysis[[#This Row],[Cost of Goods Sold]]</f>
        <v>51090.124799999998</v>
      </c>
      <c r="N36" s="11">
        <f>FinancialAnalysis[[#This Row],[Gross Profit]]-FinancialAnalysis[[#This Row],[Total Operating Expenses]]</f>
        <v>23791.764799999994</v>
      </c>
      <c r="O36" s="9">
        <f>FinancialAnalysis[[#This Row],[Gross Profit]]/FinancialAnalysis[[#This Row],[Revenue]]</f>
        <v>0.4652</v>
      </c>
      <c r="P36" s="9">
        <f>FinancialAnalysis[[#This Row],[Operating Profit]]/FinancialAnalysis[[#This Row],[Revenue]]</f>
        <v>0.21663538752913747</v>
      </c>
      <c r="Q36" s="4">
        <f>FinancialAnalysis[[#This Row],[Revenue]]/FinancialAnalysis[[#This Row],[Units Sold]]</f>
        <v>88</v>
      </c>
      <c r="R36" s="4">
        <f>FinancialAnalysis[[#This Row],[Cost of Goods Sold]]/FinancialAnalysis[[#This Row],[Units Sold]]</f>
        <v>47.062400000000004</v>
      </c>
      <c r="S36" s="9">
        <f>FinancialAnalysis[[#This Row],[Total Operating Expenses]]/FinancialAnalysis[[#This Row],[Revenue]]</f>
        <v>0.24856461247086251</v>
      </c>
      <c r="T36" s="3" t="str">
        <f>IF(FinancialAnalysis[[#This Row],[Operating Profit]]&gt;0,"Profitable","Not Profitable")</f>
        <v>Profitable</v>
      </c>
    </row>
    <row r="37" spans="1:20" x14ac:dyDescent="0.3">
      <c r="A37" t="s">
        <v>12</v>
      </c>
      <c r="B37" t="s">
        <v>27</v>
      </c>
      <c r="C37" t="s">
        <v>23</v>
      </c>
      <c r="D37" s="1">
        <v>829</v>
      </c>
      <c r="E37" s="3">
        <v>153</v>
      </c>
      <c r="F37" s="2">
        <v>126837</v>
      </c>
      <c r="G37" s="3">
        <v>87847.306200000006</v>
      </c>
      <c r="H37" s="3">
        <v>6075.4922999999999</v>
      </c>
      <c r="I37" s="3">
        <v>18720</v>
      </c>
      <c r="J37" s="3">
        <v>7222</v>
      </c>
      <c r="K37" s="8">
        <v>3716.3240999999998</v>
      </c>
      <c r="L37" s="3">
        <f>SUM(FinancialAnalysis[[#This Row],[Marketing Expense]:[Other Expense]])</f>
        <v>35733.816399999996</v>
      </c>
      <c r="M37" s="3">
        <f>FinancialAnalysis[[#This Row],[Revenue]]-FinancialAnalysis[[#This Row],[Cost of Goods Sold]]</f>
        <v>38989.693799999994</v>
      </c>
      <c r="N37" s="11">
        <f>FinancialAnalysis[[#This Row],[Gross Profit]]-FinancialAnalysis[[#This Row],[Total Operating Expenses]]</f>
        <v>3255.8773999999976</v>
      </c>
      <c r="O37" s="9">
        <f>FinancialAnalysis[[#This Row],[Gross Profit]]/FinancialAnalysis[[#This Row],[Revenue]]</f>
        <v>0.30739999999999995</v>
      </c>
      <c r="P37" s="9">
        <f>FinancialAnalysis[[#This Row],[Operating Profit]]/FinancialAnalysis[[#This Row],[Revenue]]</f>
        <v>2.5669776169414269E-2</v>
      </c>
      <c r="Q37" s="4">
        <f>FinancialAnalysis[[#This Row],[Revenue]]/FinancialAnalysis[[#This Row],[Units Sold]]</f>
        <v>153</v>
      </c>
      <c r="R37" s="4">
        <f>FinancialAnalysis[[#This Row],[Cost of Goods Sold]]/FinancialAnalysis[[#This Row],[Units Sold]]</f>
        <v>105.96780000000001</v>
      </c>
      <c r="S37" s="9">
        <f>FinancialAnalysis[[#This Row],[Total Operating Expenses]]/FinancialAnalysis[[#This Row],[Revenue]]</f>
        <v>0.28173022383058566</v>
      </c>
      <c r="T37" s="3" t="str">
        <f>IF(FinancialAnalysis[[#This Row],[Operating Profit]]&gt;0,"Profitable","Not Profitable")</f>
        <v>Profitable</v>
      </c>
    </row>
    <row r="38" spans="1:20" x14ac:dyDescent="0.3">
      <c r="A38" t="s">
        <v>12</v>
      </c>
      <c r="B38" t="s">
        <v>27</v>
      </c>
      <c r="C38" t="s">
        <v>29</v>
      </c>
      <c r="D38" s="1">
        <v>898</v>
      </c>
      <c r="E38" s="3">
        <v>23</v>
      </c>
      <c r="F38" s="2">
        <v>20654</v>
      </c>
      <c r="G38" s="3">
        <v>10196.879800000001</v>
      </c>
      <c r="H38" s="3">
        <v>1189.6704</v>
      </c>
      <c r="I38" s="3">
        <v>9949</v>
      </c>
      <c r="J38" s="3">
        <v>10176</v>
      </c>
      <c r="K38" s="8">
        <v>817.89840000000004</v>
      </c>
      <c r="L38" s="3">
        <f>SUM(FinancialAnalysis[[#This Row],[Marketing Expense]:[Other Expense]])</f>
        <v>22132.568800000001</v>
      </c>
      <c r="M38" s="3">
        <f>FinancialAnalysis[[#This Row],[Revenue]]-FinancialAnalysis[[#This Row],[Cost of Goods Sold]]</f>
        <v>10457.120199999999</v>
      </c>
      <c r="N38" s="11">
        <f>FinancialAnalysis[[#This Row],[Gross Profit]]-FinancialAnalysis[[#This Row],[Total Operating Expenses]]</f>
        <v>-11675.448600000002</v>
      </c>
      <c r="O38" s="9">
        <f>FinancialAnalysis[[#This Row],[Gross Profit]]/FinancialAnalysis[[#This Row],[Revenue]]</f>
        <v>0.50629999999999997</v>
      </c>
      <c r="P38" s="9">
        <f>FinancialAnalysis[[#This Row],[Operating Profit]]/FinancialAnalysis[[#This Row],[Revenue]]</f>
        <v>-0.56528752783964376</v>
      </c>
      <c r="Q38" s="4">
        <f>FinancialAnalysis[[#This Row],[Revenue]]/FinancialAnalysis[[#This Row],[Units Sold]]</f>
        <v>23</v>
      </c>
      <c r="R38" s="4">
        <f>FinancialAnalysis[[#This Row],[Cost of Goods Sold]]/FinancialAnalysis[[#This Row],[Units Sold]]</f>
        <v>11.3551</v>
      </c>
      <c r="S38" s="9">
        <f>FinancialAnalysis[[#This Row],[Total Operating Expenses]]/FinancialAnalysis[[#This Row],[Revenue]]</f>
        <v>1.0715875278396436</v>
      </c>
      <c r="T38" s="3" t="str">
        <f>IF(FinancialAnalysis[[#This Row],[Operating Profit]]&gt;0,"Profitable","Not Profitable")</f>
        <v>Not Profitable</v>
      </c>
    </row>
    <row r="39" spans="1:20" x14ac:dyDescent="0.3">
      <c r="A39" t="s">
        <v>12</v>
      </c>
      <c r="B39" t="s">
        <v>27</v>
      </c>
      <c r="C39" t="s">
        <v>24</v>
      </c>
      <c r="D39" s="1">
        <v>1361</v>
      </c>
      <c r="E39" s="3">
        <v>66</v>
      </c>
      <c r="F39" s="2">
        <v>89826</v>
      </c>
      <c r="G39" s="3">
        <v>46161.581400000003</v>
      </c>
      <c r="H39" s="3">
        <v>4635.0216</v>
      </c>
      <c r="I39" s="3">
        <v>14131</v>
      </c>
      <c r="J39" s="3">
        <v>8855</v>
      </c>
      <c r="K39" s="8">
        <v>3512.1966000000002</v>
      </c>
      <c r="L39" s="3">
        <f>SUM(FinancialAnalysis[[#This Row],[Marketing Expense]:[Other Expense]])</f>
        <v>31133.218199999999</v>
      </c>
      <c r="M39" s="3">
        <f>FinancialAnalysis[[#This Row],[Revenue]]-FinancialAnalysis[[#This Row],[Cost of Goods Sold]]</f>
        <v>43664.418599999997</v>
      </c>
      <c r="N39" s="11">
        <f>FinancialAnalysis[[#This Row],[Gross Profit]]-FinancialAnalysis[[#This Row],[Total Operating Expenses]]</f>
        <v>12531.200399999998</v>
      </c>
      <c r="O39" s="9">
        <f>FinancialAnalysis[[#This Row],[Gross Profit]]/FinancialAnalysis[[#This Row],[Revenue]]</f>
        <v>0.48609999999999998</v>
      </c>
      <c r="P39" s="9">
        <f>FinancialAnalysis[[#This Row],[Operating Profit]]/FinancialAnalysis[[#This Row],[Revenue]]</f>
        <v>0.13950527018903211</v>
      </c>
      <c r="Q39" s="4">
        <f>FinancialAnalysis[[#This Row],[Revenue]]/FinancialAnalysis[[#This Row],[Units Sold]]</f>
        <v>66</v>
      </c>
      <c r="R39" s="4">
        <f>FinancialAnalysis[[#This Row],[Cost of Goods Sold]]/FinancialAnalysis[[#This Row],[Units Sold]]</f>
        <v>33.917400000000001</v>
      </c>
      <c r="S39" s="9">
        <f>FinancialAnalysis[[#This Row],[Total Operating Expenses]]/FinancialAnalysis[[#This Row],[Revenue]]</f>
        <v>0.34659472981096784</v>
      </c>
      <c r="T39" s="3" t="str">
        <f>IF(FinancialAnalysis[[#This Row],[Operating Profit]]&gt;0,"Profitable","Not Profitable")</f>
        <v>Profitable</v>
      </c>
    </row>
    <row r="40" spans="1:20" x14ac:dyDescent="0.3">
      <c r="A40" t="s">
        <v>12</v>
      </c>
      <c r="B40" t="s">
        <v>27</v>
      </c>
      <c r="C40" t="s">
        <v>25</v>
      </c>
      <c r="D40" s="1">
        <v>455</v>
      </c>
      <c r="E40" s="3">
        <v>189</v>
      </c>
      <c r="F40" s="2">
        <v>85995</v>
      </c>
      <c r="G40" s="3">
        <v>62931.141000000003</v>
      </c>
      <c r="H40" s="3">
        <v>4273.9515000000001</v>
      </c>
      <c r="I40" s="3">
        <v>13801</v>
      </c>
      <c r="J40" s="3">
        <v>9659</v>
      </c>
      <c r="K40" s="8">
        <v>3345.2055</v>
      </c>
      <c r="L40" s="3">
        <f>SUM(FinancialAnalysis[[#This Row],[Marketing Expense]:[Other Expense]])</f>
        <v>31079.156999999999</v>
      </c>
      <c r="M40" s="3">
        <f>FinancialAnalysis[[#This Row],[Revenue]]-FinancialAnalysis[[#This Row],[Cost of Goods Sold]]</f>
        <v>23063.858999999997</v>
      </c>
      <c r="N40" s="11">
        <f>FinancialAnalysis[[#This Row],[Gross Profit]]-FinancialAnalysis[[#This Row],[Total Operating Expenses]]</f>
        <v>-8015.2980000000025</v>
      </c>
      <c r="O40" s="9">
        <f>FinancialAnalysis[[#This Row],[Gross Profit]]/FinancialAnalysis[[#This Row],[Revenue]]</f>
        <v>0.26819999999999994</v>
      </c>
      <c r="P40" s="9">
        <f>FinancialAnalysis[[#This Row],[Operating Profit]]/FinancialAnalysis[[#This Row],[Revenue]]</f>
        <v>-9.3206558520844265E-2</v>
      </c>
      <c r="Q40" s="4">
        <f>FinancialAnalysis[[#This Row],[Revenue]]/FinancialAnalysis[[#This Row],[Units Sold]]</f>
        <v>189</v>
      </c>
      <c r="R40" s="4">
        <f>FinancialAnalysis[[#This Row],[Cost of Goods Sold]]/FinancialAnalysis[[#This Row],[Units Sold]]</f>
        <v>138.31020000000001</v>
      </c>
      <c r="S40" s="9">
        <f>FinancialAnalysis[[#This Row],[Total Operating Expenses]]/FinancialAnalysis[[#This Row],[Revenue]]</f>
        <v>0.36140655852084425</v>
      </c>
      <c r="T40" s="3" t="str">
        <f>IF(FinancialAnalysis[[#This Row],[Operating Profit]]&gt;0,"Profitable","Not Profitable")</f>
        <v>Not Profitable</v>
      </c>
    </row>
    <row r="41" spans="1:20" x14ac:dyDescent="0.3">
      <c r="A41" t="s">
        <v>12</v>
      </c>
      <c r="B41" t="s">
        <v>27</v>
      </c>
      <c r="C41" t="s">
        <v>26</v>
      </c>
      <c r="D41" s="1">
        <v>1360</v>
      </c>
      <c r="E41" s="3">
        <v>63</v>
      </c>
      <c r="F41" s="2">
        <v>85680</v>
      </c>
      <c r="G41" s="3">
        <v>57791.159999999996</v>
      </c>
      <c r="H41" s="3">
        <v>3872.7359999999999</v>
      </c>
      <c r="I41" s="3">
        <v>14914</v>
      </c>
      <c r="J41" s="3">
        <v>9491</v>
      </c>
      <c r="K41" s="8">
        <v>3084.48</v>
      </c>
      <c r="L41" s="3">
        <f>SUM(FinancialAnalysis[[#This Row],[Marketing Expense]:[Other Expense]])</f>
        <v>31362.216</v>
      </c>
      <c r="M41" s="3">
        <f>FinancialAnalysis[[#This Row],[Revenue]]-FinancialAnalysis[[#This Row],[Cost of Goods Sold]]</f>
        <v>27888.840000000004</v>
      </c>
      <c r="N41" s="11">
        <f>FinancialAnalysis[[#This Row],[Gross Profit]]-FinancialAnalysis[[#This Row],[Total Operating Expenses]]</f>
        <v>-3473.3759999999966</v>
      </c>
      <c r="O41" s="9">
        <f>FinancialAnalysis[[#This Row],[Gross Profit]]/FinancialAnalysis[[#This Row],[Revenue]]</f>
        <v>0.32550000000000007</v>
      </c>
      <c r="P41" s="9">
        <f>FinancialAnalysis[[#This Row],[Operating Profit]]/FinancialAnalysis[[#This Row],[Revenue]]</f>
        <v>-4.0538935574229655E-2</v>
      </c>
      <c r="Q41" s="4">
        <f>FinancialAnalysis[[#This Row],[Revenue]]/FinancialAnalysis[[#This Row],[Units Sold]]</f>
        <v>63</v>
      </c>
      <c r="R41" s="4">
        <f>FinancialAnalysis[[#This Row],[Cost of Goods Sold]]/FinancialAnalysis[[#This Row],[Units Sold]]</f>
        <v>42.493499999999997</v>
      </c>
      <c r="S41" s="9">
        <f>FinancialAnalysis[[#This Row],[Total Operating Expenses]]/FinancialAnalysis[[#This Row],[Revenue]]</f>
        <v>0.36603893557422967</v>
      </c>
      <c r="T41" s="3" t="str">
        <f>IF(FinancialAnalysis[[#This Row],[Operating Profit]]&gt;0,"Profitable","Not Profitable")</f>
        <v>Not Profitable</v>
      </c>
    </row>
    <row r="42" spans="1:20" x14ac:dyDescent="0.3">
      <c r="A42" t="s">
        <v>12</v>
      </c>
      <c r="B42" t="s">
        <v>28</v>
      </c>
      <c r="C42" t="s">
        <v>23</v>
      </c>
      <c r="D42" s="1">
        <v>2241</v>
      </c>
      <c r="E42" s="3">
        <v>92</v>
      </c>
      <c r="F42" s="2">
        <v>206172</v>
      </c>
      <c r="G42" s="3">
        <v>125764.92</v>
      </c>
      <c r="H42" s="3">
        <v>5154.3</v>
      </c>
      <c r="I42" s="3">
        <v>12378</v>
      </c>
      <c r="J42" s="3">
        <v>3871</v>
      </c>
      <c r="K42" s="8">
        <v>10349.8344</v>
      </c>
      <c r="L42" s="3">
        <f>SUM(FinancialAnalysis[[#This Row],[Marketing Expense]:[Other Expense]])</f>
        <v>31753.134399999999</v>
      </c>
      <c r="M42" s="3">
        <f>FinancialAnalysis[[#This Row],[Revenue]]-FinancialAnalysis[[#This Row],[Cost of Goods Sold]]</f>
        <v>80407.08</v>
      </c>
      <c r="N42" s="11">
        <f>FinancialAnalysis[[#This Row],[Gross Profit]]-FinancialAnalysis[[#This Row],[Total Operating Expenses]]</f>
        <v>48653.945600000006</v>
      </c>
      <c r="O42" s="9">
        <f>FinancialAnalysis[[#This Row],[Gross Profit]]/FinancialAnalysis[[#This Row],[Revenue]]</f>
        <v>0.39</v>
      </c>
      <c r="P42" s="9">
        <f>FinancialAnalysis[[#This Row],[Operating Profit]]/FinancialAnalysis[[#This Row],[Revenue]]</f>
        <v>0.23598716411539883</v>
      </c>
      <c r="Q42" s="4">
        <f>FinancialAnalysis[[#This Row],[Revenue]]/FinancialAnalysis[[#This Row],[Units Sold]]</f>
        <v>92</v>
      </c>
      <c r="R42" s="4">
        <f>FinancialAnalysis[[#This Row],[Cost of Goods Sold]]/FinancialAnalysis[[#This Row],[Units Sold]]</f>
        <v>56.12</v>
      </c>
      <c r="S42" s="9">
        <f>FinancialAnalysis[[#This Row],[Total Operating Expenses]]/FinancialAnalysis[[#This Row],[Revenue]]</f>
        <v>0.15401283588460121</v>
      </c>
      <c r="T42" s="3" t="str">
        <f>IF(FinancialAnalysis[[#This Row],[Operating Profit]]&gt;0,"Profitable","Not Profitable")</f>
        <v>Profitable</v>
      </c>
    </row>
    <row r="43" spans="1:20" x14ac:dyDescent="0.3">
      <c r="A43" t="s">
        <v>12</v>
      </c>
      <c r="B43" t="s">
        <v>28</v>
      </c>
      <c r="C43" t="s">
        <v>29</v>
      </c>
      <c r="D43" s="1">
        <v>1285</v>
      </c>
      <c r="E43" s="3">
        <v>38</v>
      </c>
      <c r="F43" s="2">
        <v>48830</v>
      </c>
      <c r="G43" s="3">
        <v>26485.392</v>
      </c>
      <c r="H43" s="3">
        <v>1792.0610000000001</v>
      </c>
      <c r="I43" s="3">
        <v>6240</v>
      </c>
      <c r="J43" s="3">
        <v>6119</v>
      </c>
      <c r="K43" s="8">
        <v>1694.4010000000001</v>
      </c>
      <c r="L43" s="3">
        <f>SUM(FinancialAnalysis[[#This Row],[Marketing Expense]:[Other Expense]])</f>
        <v>15845.462</v>
      </c>
      <c r="M43" s="3">
        <f>FinancialAnalysis[[#This Row],[Revenue]]-FinancialAnalysis[[#This Row],[Cost of Goods Sold]]</f>
        <v>22344.608</v>
      </c>
      <c r="N43" s="11">
        <f>FinancialAnalysis[[#This Row],[Gross Profit]]-FinancialAnalysis[[#This Row],[Total Operating Expenses]]</f>
        <v>6499.1460000000006</v>
      </c>
      <c r="O43" s="9">
        <f>FinancialAnalysis[[#This Row],[Gross Profit]]/FinancialAnalysis[[#This Row],[Revenue]]</f>
        <v>0.45760000000000001</v>
      </c>
      <c r="P43" s="9">
        <f>FinancialAnalysis[[#This Row],[Operating Profit]]/FinancialAnalysis[[#This Row],[Revenue]]</f>
        <v>0.13309739913987303</v>
      </c>
      <c r="Q43" s="4">
        <f>FinancialAnalysis[[#This Row],[Revenue]]/FinancialAnalysis[[#This Row],[Units Sold]]</f>
        <v>38</v>
      </c>
      <c r="R43" s="4">
        <f>FinancialAnalysis[[#This Row],[Cost of Goods Sold]]/FinancialAnalysis[[#This Row],[Units Sold]]</f>
        <v>20.6112</v>
      </c>
      <c r="S43" s="9">
        <f>FinancialAnalysis[[#This Row],[Total Operating Expenses]]/FinancialAnalysis[[#This Row],[Revenue]]</f>
        <v>0.32450260086012694</v>
      </c>
      <c r="T43" s="3" t="str">
        <f>IF(FinancialAnalysis[[#This Row],[Operating Profit]]&gt;0,"Profitable","Not Profitable")</f>
        <v>Profitable</v>
      </c>
    </row>
    <row r="44" spans="1:20" x14ac:dyDescent="0.3">
      <c r="A44" t="s">
        <v>12</v>
      </c>
      <c r="B44" t="s">
        <v>28</v>
      </c>
      <c r="C44" t="s">
        <v>24</v>
      </c>
      <c r="D44" s="1">
        <v>1750</v>
      </c>
      <c r="E44" s="3">
        <v>37</v>
      </c>
      <c r="F44" s="2">
        <v>64750</v>
      </c>
      <c r="G44" s="3">
        <v>33087.25</v>
      </c>
      <c r="H44" s="3">
        <v>1806.5250000000001</v>
      </c>
      <c r="I44" s="3">
        <v>11882</v>
      </c>
      <c r="J44" s="3">
        <v>2520</v>
      </c>
      <c r="K44" s="8">
        <v>3509.45</v>
      </c>
      <c r="L44" s="3">
        <f>SUM(FinancialAnalysis[[#This Row],[Marketing Expense]:[Other Expense]])</f>
        <v>19717.974999999999</v>
      </c>
      <c r="M44" s="3">
        <f>FinancialAnalysis[[#This Row],[Revenue]]-FinancialAnalysis[[#This Row],[Cost of Goods Sold]]</f>
        <v>31662.75</v>
      </c>
      <c r="N44" s="11">
        <f>FinancialAnalysis[[#This Row],[Gross Profit]]-FinancialAnalysis[[#This Row],[Total Operating Expenses]]</f>
        <v>11944.775000000001</v>
      </c>
      <c r="O44" s="9">
        <f>FinancialAnalysis[[#This Row],[Gross Profit]]/FinancialAnalysis[[#This Row],[Revenue]]</f>
        <v>0.48899999999999999</v>
      </c>
      <c r="P44" s="9">
        <f>FinancialAnalysis[[#This Row],[Operating Profit]]/FinancialAnalysis[[#This Row],[Revenue]]</f>
        <v>0.18447528957528961</v>
      </c>
      <c r="Q44" s="4">
        <f>FinancialAnalysis[[#This Row],[Revenue]]/FinancialAnalysis[[#This Row],[Units Sold]]</f>
        <v>37</v>
      </c>
      <c r="R44" s="4">
        <f>FinancialAnalysis[[#This Row],[Cost of Goods Sold]]/FinancialAnalysis[[#This Row],[Units Sold]]</f>
        <v>18.907</v>
      </c>
      <c r="S44" s="9">
        <f>FinancialAnalysis[[#This Row],[Total Operating Expenses]]/FinancialAnalysis[[#This Row],[Revenue]]</f>
        <v>0.30452471042471041</v>
      </c>
      <c r="T44" s="3" t="str">
        <f>IF(FinancialAnalysis[[#This Row],[Operating Profit]]&gt;0,"Profitable","Not Profitable")</f>
        <v>Profitable</v>
      </c>
    </row>
    <row r="45" spans="1:20" x14ac:dyDescent="0.3">
      <c r="A45" t="s">
        <v>12</v>
      </c>
      <c r="B45" t="s">
        <v>28</v>
      </c>
      <c r="C45" t="s">
        <v>25</v>
      </c>
      <c r="D45" s="1">
        <v>1820</v>
      </c>
      <c r="E45" s="3">
        <v>288</v>
      </c>
      <c r="F45" s="2">
        <v>524160</v>
      </c>
      <c r="G45" s="3">
        <v>358577.85600000003</v>
      </c>
      <c r="H45" s="3">
        <v>16668.288</v>
      </c>
      <c r="I45" s="3">
        <v>10732</v>
      </c>
      <c r="J45" s="3">
        <v>3512</v>
      </c>
      <c r="K45" s="8">
        <v>29981.952000000001</v>
      </c>
      <c r="L45" s="3">
        <f>SUM(FinancialAnalysis[[#This Row],[Marketing Expense]:[Other Expense]])</f>
        <v>60894.240000000005</v>
      </c>
      <c r="M45" s="3">
        <f>FinancialAnalysis[[#This Row],[Revenue]]-FinancialAnalysis[[#This Row],[Cost of Goods Sold]]</f>
        <v>165582.14399999997</v>
      </c>
      <c r="N45" s="11">
        <f>FinancialAnalysis[[#This Row],[Gross Profit]]-FinancialAnalysis[[#This Row],[Total Operating Expenses]]</f>
        <v>104687.90399999997</v>
      </c>
      <c r="O45" s="9">
        <f>FinancialAnalysis[[#This Row],[Gross Profit]]/FinancialAnalysis[[#This Row],[Revenue]]</f>
        <v>0.31589999999999996</v>
      </c>
      <c r="P45" s="9">
        <f>FinancialAnalysis[[#This Row],[Operating Profit]]/FinancialAnalysis[[#This Row],[Revenue]]</f>
        <v>0.19972509157509152</v>
      </c>
      <c r="Q45" s="4">
        <f>FinancialAnalysis[[#This Row],[Revenue]]/FinancialAnalysis[[#This Row],[Units Sold]]</f>
        <v>288</v>
      </c>
      <c r="R45" s="4">
        <f>FinancialAnalysis[[#This Row],[Cost of Goods Sold]]/FinancialAnalysis[[#This Row],[Units Sold]]</f>
        <v>197.02080000000001</v>
      </c>
      <c r="S45" s="9">
        <f>FinancialAnalysis[[#This Row],[Total Operating Expenses]]/FinancialAnalysis[[#This Row],[Revenue]]</f>
        <v>0.11617490842490844</v>
      </c>
      <c r="T45" s="3" t="str">
        <f>IF(FinancialAnalysis[[#This Row],[Operating Profit]]&gt;0,"Profitable","Not Profitable")</f>
        <v>Profitable</v>
      </c>
    </row>
    <row r="46" spans="1:20" x14ac:dyDescent="0.3">
      <c r="A46" t="s">
        <v>12</v>
      </c>
      <c r="B46" t="s">
        <v>28</v>
      </c>
      <c r="C46" t="s">
        <v>26</v>
      </c>
      <c r="D46" s="1">
        <v>1465</v>
      </c>
      <c r="E46" s="3">
        <v>44</v>
      </c>
      <c r="F46" s="2">
        <v>64460</v>
      </c>
      <c r="G46" s="3">
        <v>34473.208000000006</v>
      </c>
      <c r="H46" s="3">
        <v>1598.6079999999999</v>
      </c>
      <c r="I46" s="3">
        <v>13854</v>
      </c>
      <c r="J46" s="3">
        <v>4208</v>
      </c>
      <c r="K46" s="8">
        <v>2475.2640000000001</v>
      </c>
      <c r="L46" s="3">
        <f>SUM(FinancialAnalysis[[#This Row],[Marketing Expense]:[Other Expense]])</f>
        <v>22135.871999999999</v>
      </c>
      <c r="M46" s="3">
        <f>FinancialAnalysis[[#This Row],[Revenue]]-FinancialAnalysis[[#This Row],[Cost of Goods Sold]]</f>
        <v>29986.791999999994</v>
      </c>
      <c r="N46" s="11">
        <f>FinancialAnalysis[[#This Row],[Gross Profit]]-FinancialAnalysis[[#This Row],[Total Operating Expenses]]</f>
        <v>7850.9199999999946</v>
      </c>
      <c r="O46" s="9">
        <f>FinancialAnalysis[[#This Row],[Gross Profit]]/FinancialAnalysis[[#This Row],[Revenue]]</f>
        <v>0.46519999999999989</v>
      </c>
      <c r="P46" s="9">
        <f>FinancialAnalysis[[#This Row],[Operating Profit]]/FinancialAnalysis[[#This Row],[Revenue]]</f>
        <v>0.12179522184300333</v>
      </c>
      <c r="Q46" s="4">
        <f>FinancialAnalysis[[#This Row],[Revenue]]/FinancialAnalysis[[#This Row],[Units Sold]]</f>
        <v>44</v>
      </c>
      <c r="R46" s="4">
        <f>FinancialAnalysis[[#This Row],[Cost of Goods Sold]]/FinancialAnalysis[[#This Row],[Units Sold]]</f>
        <v>23.531200000000005</v>
      </c>
      <c r="S46" s="9">
        <f>FinancialAnalysis[[#This Row],[Total Operating Expenses]]/FinancialAnalysis[[#This Row],[Revenue]]</f>
        <v>0.3434047781569966</v>
      </c>
      <c r="T46" s="3" t="str">
        <f>IF(FinancialAnalysis[[#This Row],[Operating Profit]]&gt;0,"Profitable","Not Profitable")</f>
        <v>Profitable</v>
      </c>
    </row>
    <row r="47" spans="1:20" x14ac:dyDescent="0.3">
      <c r="A47" t="s">
        <v>13</v>
      </c>
      <c r="B47" t="s">
        <v>22</v>
      </c>
      <c r="C47" t="s">
        <v>23</v>
      </c>
      <c r="D47" s="1">
        <v>1909</v>
      </c>
      <c r="E47" s="3">
        <v>148</v>
      </c>
      <c r="F47" s="2">
        <v>282532</v>
      </c>
      <c r="G47" s="3">
        <v>187686.00760000001</v>
      </c>
      <c r="H47" s="3">
        <v>33536.5484</v>
      </c>
      <c r="I47" s="3">
        <v>6071</v>
      </c>
      <c r="J47" s="3">
        <v>1296</v>
      </c>
      <c r="K47" s="8">
        <v>16697.641199999998</v>
      </c>
      <c r="L47" s="3">
        <f>SUM(FinancialAnalysis[[#This Row],[Marketing Expense]:[Other Expense]])</f>
        <v>57601.189599999998</v>
      </c>
      <c r="M47" s="3">
        <f>FinancialAnalysis[[#This Row],[Revenue]]-FinancialAnalysis[[#This Row],[Cost of Goods Sold]]</f>
        <v>94845.992399999988</v>
      </c>
      <c r="N47" s="11">
        <f>FinancialAnalysis[[#This Row],[Gross Profit]]-FinancialAnalysis[[#This Row],[Total Operating Expenses]]</f>
        <v>37244.80279999999</v>
      </c>
      <c r="O47" s="9">
        <f>FinancialAnalysis[[#This Row],[Gross Profit]]/FinancialAnalysis[[#This Row],[Revenue]]</f>
        <v>0.33569999999999994</v>
      </c>
      <c r="P47" s="9">
        <f>FinancialAnalysis[[#This Row],[Operating Profit]]/FinancialAnalysis[[#This Row],[Revenue]]</f>
        <v>0.13182507751334357</v>
      </c>
      <c r="Q47" s="4">
        <f>FinancialAnalysis[[#This Row],[Revenue]]/FinancialAnalysis[[#This Row],[Units Sold]]</f>
        <v>148</v>
      </c>
      <c r="R47" s="4">
        <f>FinancialAnalysis[[#This Row],[Cost of Goods Sold]]/FinancialAnalysis[[#This Row],[Units Sold]]</f>
        <v>98.316400000000002</v>
      </c>
      <c r="S47" s="9">
        <f>FinancialAnalysis[[#This Row],[Total Operating Expenses]]/FinancialAnalysis[[#This Row],[Revenue]]</f>
        <v>0.20387492248665637</v>
      </c>
      <c r="T47" s="3" t="str">
        <f>IF(FinancialAnalysis[[#This Row],[Operating Profit]]&gt;0,"Profitable","Not Profitable")</f>
        <v>Profitable</v>
      </c>
    </row>
    <row r="48" spans="1:20" x14ac:dyDescent="0.3">
      <c r="A48" t="s">
        <v>13</v>
      </c>
      <c r="B48" t="s">
        <v>22</v>
      </c>
      <c r="C48" t="s">
        <v>29</v>
      </c>
      <c r="D48" s="1">
        <v>926</v>
      </c>
      <c r="E48" s="3">
        <v>40</v>
      </c>
      <c r="F48" s="2">
        <v>37040</v>
      </c>
      <c r="G48" s="3">
        <v>18979.295999999998</v>
      </c>
      <c r="H48" s="3">
        <v>3452.1280000000002</v>
      </c>
      <c r="I48" s="3">
        <v>6620</v>
      </c>
      <c r="J48" s="3">
        <v>1622</v>
      </c>
      <c r="K48" s="8">
        <v>851.92</v>
      </c>
      <c r="L48" s="3">
        <f>SUM(FinancialAnalysis[[#This Row],[Marketing Expense]:[Other Expense]])</f>
        <v>12546.048000000001</v>
      </c>
      <c r="M48" s="3">
        <f>FinancialAnalysis[[#This Row],[Revenue]]-FinancialAnalysis[[#This Row],[Cost of Goods Sold]]</f>
        <v>18060.704000000002</v>
      </c>
      <c r="N48" s="11">
        <f>FinancialAnalysis[[#This Row],[Gross Profit]]-FinancialAnalysis[[#This Row],[Total Operating Expenses]]</f>
        <v>5514.6560000000009</v>
      </c>
      <c r="O48" s="9">
        <f>FinancialAnalysis[[#This Row],[Gross Profit]]/FinancialAnalysis[[#This Row],[Revenue]]</f>
        <v>0.48760000000000003</v>
      </c>
      <c r="P48" s="9">
        <f>FinancialAnalysis[[#This Row],[Operating Profit]]/FinancialAnalysis[[#This Row],[Revenue]]</f>
        <v>0.14888380129589635</v>
      </c>
      <c r="Q48" s="4">
        <f>FinancialAnalysis[[#This Row],[Revenue]]/FinancialAnalysis[[#This Row],[Units Sold]]</f>
        <v>40</v>
      </c>
      <c r="R48" s="4">
        <f>FinancialAnalysis[[#This Row],[Cost of Goods Sold]]/FinancialAnalysis[[#This Row],[Units Sold]]</f>
        <v>20.495999999999999</v>
      </c>
      <c r="S48" s="9">
        <f>FinancialAnalysis[[#This Row],[Total Operating Expenses]]/FinancialAnalysis[[#This Row],[Revenue]]</f>
        <v>0.33871619870410369</v>
      </c>
      <c r="T48" s="3" t="str">
        <f>IF(FinancialAnalysis[[#This Row],[Operating Profit]]&gt;0,"Profitable","Not Profitable")</f>
        <v>Profitable</v>
      </c>
    </row>
    <row r="49" spans="1:20" x14ac:dyDescent="0.3">
      <c r="A49" t="s">
        <v>13</v>
      </c>
      <c r="B49" t="s">
        <v>22</v>
      </c>
      <c r="C49" t="s">
        <v>24</v>
      </c>
      <c r="D49" s="1">
        <v>678</v>
      </c>
      <c r="E49" s="3">
        <v>29</v>
      </c>
      <c r="F49" s="2">
        <v>19662</v>
      </c>
      <c r="G49" s="3">
        <v>12619.071600000001</v>
      </c>
      <c r="H49" s="3">
        <v>2243.4341999999997</v>
      </c>
      <c r="I49" s="3">
        <v>11363</v>
      </c>
      <c r="J49" s="3">
        <v>1677</v>
      </c>
      <c r="K49" s="8">
        <v>843.49980000000005</v>
      </c>
      <c r="L49" s="3">
        <f>SUM(FinancialAnalysis[[#This Row],[Marketing Expense]:[Other Expense]])</f>
        <v>16126.933999999999</v>
      </c>
      <c r="M49" s="3">
        <f>FinancialAnalysis[[#This Row],[Revenue]]-FinancialAnalysis[[#This Row],[Cost of Goods Sold]]</f>
        <v>7042.9283999999989</v>
      </c>
      <c r="N49" s="11">
        <f>FinancialAnalysis[[#This Row],[Gross Profit]]-FinancialAnalysis[[#This Row],[Total Operating Expenses]]</f>
        <v>-9084.0056000000004</v>
      </c>
      <c r="O49" s="9">
        <f>FinancialAnalysis[[#This Row],[Gross Profit]]/FinancialAnalysis[[#This Row],[Revenue]]</f>
        <v>0.35819999999999996</v>
      </c>
      <c r="P49" s="9">
        <f>FinancialAnalysis[[#This Row],[Operating Profit]]/FinancialAnalysis[[#This Row],[Revenue]]</f>
        <v>-0.46200821889939986</v>
      </c>
      <c r="Q49" s="4">
        <f>FinancialAnalysis[[#This Row],[Revenue]]/FinancialAnalysis[[#This Row],[Units Sold]]</f>
        <v>29</v>
      </c>
      <c r="R49" s="4">
        <f>FinancialAnalysis[[#This Row],[Cost of Goods Sold]]/FinancialAnalysis[[#This Row],[Units Sold]]</f>
        <v>18.612200000000001</v>
      </c>
      <c r="S49" s="9">
        <f>FinancialAnalysis[[#This Row],[Total Operating Expenses]]/FinancialAnalysis[[#This Row],[Revenue]]</f>
        <v>0.82020821889939988</v>
      </c>
      <c r="T49" s="3" t="str">
        <f>IF(FinancialAnalysis[[#This Row],[Operating Profit]]&gt;0,"Profitable","Not Profitable")</f>
        <v>Not Profitable</v>
      </c>
    </row>
    <row r="50" spans="1:20" x14ac:dyDescent="0.3">
      <c r="A50" t="s">
        <v>13</v>
      </c>
      <c r="B50" t="s">
        <v>22</v>
      </c>
      <c r="C50" t="s">
        <v>25</v>
      </c>
      <c r="D50" s="1">
        <v>1719</v>
      </c>
      <c r="E50" s="3">
        <v>422</v>
      </c>
      <c r="F50" s="2">
        <v>725418</v>
      </c>
      <c r="G50" s="3">
        <v>454982.16959999996</v>
      </c>
      <c r="H50" s="3">
        <v>65287.619999999995</v>
      </c>
      <c r="I50" s="3">
        <v>6335</v>
      </c>
      <c r="J50" s="3">
        <v>1773</v>
      </c>
      <c r="K50" s="8">
        <v>37213.943399999996</v>
      </c>
      <c r="L50" s="3">
        <f>SUM(FinancialAnalysis[[#This Row],[Marketing Expense]:[Other Expense]])</f>
        <v>110609.56339999998</v>
      </c>
      <c r="M50" s="3">
        <f>FinancialAnalysis[[#This Row],[Revenue]]-FinancialAnalysis[[#This Row],[Cost of Goods Sold]]</f>
        <v>270435.83040000004</v>
      </c>
      <c r="N50" s="11">
        <f>FinancialAnalysis[[#This Row],[Gross Profit]]-FinancialAnalysis[[#This Row],[Total Operating Expenses]]</f>
        <v>159826.26700000005</v>
      </c>
      <c r="O50" s="9">
        <f>FinancialAnalysis[[#This Row],[Gross Profit]]/FinancialAnalysis[[#This Row],[Revenue]]</f>
        <v>0.37280000000000008</v>
      </c>
      <c r="P50" s="9">
        <f>FinancialAnalysis[[#This Row],[Operating Profit]]/FinancialAnalysis[[#This Row],[Revenue]]</f>
        <v>0.22032299584515416</v>
      </c>
      <c r="Q50" s="4">
        <f>FinancialAnalysis[[#This Row],[Revenue]]/FinancialAnalysis[[#This Row],[Units Sold]]</f>
        <v>422</v>
      </c>
      <c r="R50" s="4">
        <f>FinancialAnalysis[[#This Row],[Cost of Goods Sold]]/FinancialAnalysis[[#This Row],[Units Sold]]</f>
        <v>264.67839999999995</v>
      </c>
      <c r="S50" s="9">
        <f>FinancialAnalysis[[#This Row],[Total Operating Expenses]]/FinancialAnalysis[[#This Row],[Revenue]]</f>
        <v>0.15247700415484589</v>
      </c>
      <c r="T50" s="3" t="str">
        <f>IF(FinancialAnalysis[[#This Row],[Operating Profit]]&gt;0,"Profitable","Not Profitable")</f>
        <v>Profitable</v>
      </c>
    </row>
    <row r="51" spans="1:20" x14ac:dyDescent="0.3">
      <c r="A51" t="s">
        <v>13</v>
      </c>
      <c r="B51" t="s">
        <v>22</v>
      </c>
      <c r="C51" t="s">
        <v>26</v>
      </c>
      <c r="D51" s="1">
        <v>1983</v>
      </c>
      <c r="E51" s="3">
        <v>80</v>
      </c>
      <c r="F51" s="2">
        <v>158640</v>
      </c>
      <c r="G51" s="3">
        <v>99372.09599999999</v>
      </c>
      <c r="H51" s="3">
        <v>11136.528</v>
      </c>
      <c r="I51" s="3">
        <v>11180</v>
      </c>
      <c r="J51" s="3">
        <v>2196</v>
      </c>
      <c r="K51" s="8">
        <v>6060.0479999999998</v>
      </c>
      <c r="L51" s="3">
        <f>SUM(FinancialAnalysis[[#This Row],[Marketing Expense]:[Other Expense]])</f>
        <v>30572.575999999997</v>
      </c>
      <c r="M51" s="3">
        <f>FinancialAnalysis[[#This Row],[Revenue]]-FinancialAnalysis[[#This Row],[Cost of Goods Sold]]</f>
        <v>59267.90400000001</v>
      </c>
      <c r="N51" s="11">
        <f>FinancialAnalysis[[#This Row],[Gross Profit]]-FinancialAnalysis[[#This Row],[Total Operating Expenses]]</f>
        <v>28695.328000000012</v>
      </c>
      <c r="O51" s="9">
        <f>FinancialAnalysis[[#This Row],[Gross Profit]]/FinancialAnalysis[[#This Row],[Revenue]]</f>
        <v>0.37360000000000004</v>
      </c>
      <c r="P51" s="9">
        <f>FinancialAnalysis[[#This Row],[Operating Profit]]/FinancialAnalysis[[#This Row],[Revenue]]</f>
        <v>0.18088330811901168</v>
      </c>
      <c r="Q51" s="4">
        <f>FinancialAnalysis[[#This Row],[Revenue]]/FinancialAnalysis[[#This Row],[Units Sold]]</f>
        <v>80</v>
      </c>
      <c r="R51" s="4">
        <f>FinancialAnalysis[[#This Row],[Cost of Goods Sold]]/FinancialAnalysis[[#This Row],[Units Sold]]</f>
        <v>50.111999999999995</v>
      </c>
      <c r="S51" s="9">
        <f>FinancialAnalysis[[#This Row],[Total Operating Expenses]]/FinancialAnalysis[[#This Row],[Revenue]]</f>
        <v>0.19271669188098839</v>
      </c>
      <c r="T51" s="3" t="str">
        <f>IF(FinancialAnalysis[[#This Row],[Operating Profit]]&gt;0,"Profitable","Not Profitable")</f>
        <v>Profitable</v>
      </c>
    </row>
    <row r="52" spans="1:20" x14ac:dyDescent="0.3">
      <c r="A52" t="s">
        <v>13</v>
      </c>
      <c r="B52" t="s">
        <v>27</v>
      </c>
      <c r="C52" t="s">
        <v>23</v>
      </c>
      <c r="D52" s="1">
        <v>561</v>
      </c>
      <c r="E52" s="3">
        <v>246</v>
      </c>
      <c r="F52" s="2">
        <v>138006</v>
      </c>
      <c r="G52" s="3">
        <v>98011.861200000014</v>
      </c>
      <c r="H52" s="3">
        <v>9025.5923999999995</v>
      </c>
      <c r="I52" s="3">
        <v>18728</v>
      </c>
      <c r="J52" s="3">
        <v>10947</v>
      </c>
      <c r="K52" s="8">
        <v>4002.174</v>
      </c>
      <c r="L52" s="3">
        <f>SUM(FinancialAnalysis[[#This Row],[Marketing Expense]:[Other Expense]])</f>
        <v>42702.7664</v>
      </c>
      <c r="M52" s="3">
        <f>FinancialAnalysis[[#This Row],[Revenue]]-FinancialAnalysis[[#This Row],[Cost of Goods Sold]]</f>
        <v>39994.138799999986</v>
      </c>
      <c r="N52" s="11">
        <f>FinancialAnalysis[[#This Row],[Gross Profit]]-FinancialAnalysis[[#This Row],[Total Operating Expenses]]</f>
        <v>-2708.6276000000144</v>
      </c>
      <c r="O52" s="9">
        <f>FinancialAnalysis[[#This Row],[Gross Profit]]/FinancialAnalysis[[#This Row],[Revenue]]</f>
        <v>0.28979999999999989</v>
      </c>
      <c r="P52" s="9">
        <f>FinancialAnalysis[[#This Row],[Operating Profit]]/FinancialAnalysis[[#This Row],[Revenue]]</f>
        <v>-1.9626882889149853E-2</v>
      </c>
      <c r="Q52" s="4">
        <f>FinancialAnalysis[[#This Row],[Revenue]]/FinancialAnalysis[[#This Row],[Units Sold]]</f>
        <v>246</v>
      </c>
      <c r="R52" s="4">
        <f>FinancialAnalysis[[#This Row],[Cost of Goods Sold]]/FinancialAnalysis[[#This Row],[Units Sold]]</f>
        <v>174.70920000000004</v>
      </c>
      <c r="S52" s="9">
        <f>FinancialAnalysis[[#This Row],[Total Operating Expenses]]/FinancialAnalysis[[#This Row],[Revenue]]</f>
        <v>0.30942688288914977</v>
      </c>
      <c r="T52" s="3" t="str">
        <f>IF(FinancialAnalysis[[#This Row],[Operating Profit]]&gt;0,"Profitable","Not Profitable")</f>
        <v>Not Profitable</v>
      </c>
    </row>
    <row r="53" spans="1:20" x14ac:dyDescent="0.3">
      <c r="A53" t="s">
        <v>13</v>
      </c>
      <c r="B53" t="s">
        <v>27</v>
      </c>
      <c r="C53" t="s">
        <v>29</v>
      </c>
      <c r="D53" s="1">
        <v>1179</v>
      </c>
      <c r="E53" s="3">
        <v>37</v>
      </c>
      <c r="F53" s="2">
        <v>43623</v>
      </c>
      <c r="G53" s="3">
        <v>20790.721799999999</v>
      </c>
      <c r="H53" s="3">
        <v>2691.5391</v>
      </c>
      <c r="I53" s="3">
        <v>11374</v>
      </c>
      <c r="J53" s="3">
        <v>11413</v>
      </c>
      <c r="K53" s="8">
        <v>1984.8465000000001</v>
      </c>
      <c r="L53" s="3">
        <f>SUM(FinancialAnalysis[[#This Row],[Marketing Expense]:[Other Expense]])</f>
        <v>27463.385600000001</v>
      </c>
      <c r="M53" s="3">
        <f>FinancialAnalysis[[#This Row],[Revenue]]-FinancialAnalysis[[#This Row],[Cost of Goods Sold]]</f>
        <v>22832.278200000001</v>
      </c>
      <c r="N53" s="11">
        <f>FinancialAnalysis[[#This Row],[Gross Profit]]-FinancialAnalysis[[#This Row],[Total Operating Expenses]]</f>
        <v>-4631.1074000000008</v>
      </c>
      <c r="O53" s="9">
        <f>FinancialAnalysis[[#This Row],[Gross Profit]]/FinancialAnalysis[[#This Row],[Revenue]]</f>
        <v>0.52339999999999998</v>
      </c>
      <c r="P53" s="9">
        <f>FinancialAnalysis[[#This Row],[Operating Profit]]/FinancialAnalysis[[#This Row],[Revenue]]</f>
        <v>-0.10616205671320177</v>
      </c>
      <c r="Q53" s="4">
        <f>FinancialAnalysis[[#This Row],[Revenue]]/FinancialAnalysis[[#This Row],[Units Sold]]</f>
        <v>37</v>
      </c>
      <c r="R53" s="4">
        <f>FinancialAnalysis[[#This Row],[Cost of Goods Sold]]/FinancialAnalysis[[#This Row],[Units Sold]]</f>
        <v>17.6342</v>
      </c>
      <c r="S53" s="9">
        <f>FinancialAnalysis[[#This Row],[Total Operating Expenses]]/FinancialAnalysis[[#This Row],[Revenue]]</f>
        <v>0.62956205671320176</v>
      </c>
      <c r="T53" s="3" t="str">
        <f>IF(FinancialAnalysis[[#This Row],[Operating Profit]]&gt;0,"Profitable","Not Profitable")</f>
        <v>Not Profitable</v>
      </c>
    </row>
    <row r="54" spans="1:20" x14ac:dyDescent="0.3">
      <c r="A54" t="s">
        <v>13</v>
      </c>
      <c r="B54" t="s">
        <v>27</v>
      </c>
      <c r="C54" t="s">
        <v>24</v>
      </c>
      <c r="D54" s="1">
        <v>627</v>
      </c>
      <c r="E54" s="3">
        <v>71</v>
      </c>
      <c r="F54" s="2">
        <v>44517</v>
      </c>
      <c r="G54" s="3">
        <v>24800.420700000002</v>
      </c>
      <c r="H54" s="3">
        <v>1905.3275999999998</v>
      </c>
      <c r="I54" s="3">
        <v>19052</v>
      </c>
      <c r="J54" s="3">
        <v>13201</v>
      </c>
      <c r="K54" s="8">
        <v>1989.9099000000001</v>
      </c>
      <c r="L54" s="3">
        <f>SUM(FinancialAnalysis[[#This Row],[Marketing Expense]:[Other Expense]])</f>
        <v>36148.237500000003</v>
      </c>
      <c r="M54" s="3">
        <f>FinancialAnalysis[[#This Row],[Revenue]]-FinancialAnalysis[[#This Row],[Cost of Goods Sold]]</f>
        <v>19716.579299999998</v>
      </c>
      <c r="N54" s="11">
        <f>FinancialAnalysis[[#This Row],[Gross Profit]]-FinancialAnalysis[[#This Row],[Total Operating Expenses]]</f>
        <v>-16431.658200000005</v>
      </c>
      <c r="O54" s="9">
        <f>FinancialAnalysis[[#This Row],[Gross Profit]]/FinancialAnalysis[[#This Row],[Revenue]]</f>
        <v>0.44289999999999996</v>
      </c>
      <c r="P54" s="9">
        <f>FinancialAnalysis[[#This Row],[Operating Profit]]/FinancialAnalysis[[#This Row],[Revenue]]</f>
        <v>-0.36910973785295514</v>
      </c>
      <c r="Q54" s="4">
        <f>FinancialAnalysis[[#This Row],[Revenue]]/FinancialAnalysis[[#This Row],[Units Sold]]</f>
        <v>71</v>
      </c>
      <c r="R54" s="4">
        <f>FinancialAnalysis[[#This Row],[Cost of Goods Sold]]/FinancialAnalysis[[#This Row],[Units Sold]]</f>
        <v>39.554100000000005</v>
      </c>
      <c r="S54" s="9">
        <f>FinancialAnalysis[[#This Row],[Total Operating Expenses]]/FinancialAnalysis[[#This Row],[Revenue]]</f>
        <v>0.81200973785295516</v>
      </c>
      <c r="T54" s="3" t="str">
        <f>IF(FinancialAnalysis[[#This Row],[Operating Profit]]&gt;0,"Profitable","Not Profitable")</f>
        <v>Not Profitable</v>
      </c>
    </row>
    <row r="55" spans="1:20" x14ac:dyDescent="0.3">
      <c r="A55" t="s">
        <v>13</v>
      </c>
      <c r="B55" t="s">
        <v>27</v>
      </c>
      <c r="C55" t="s">
        <v>25</v>
      </c>
      <c r="D55" s="1">
        <v>1171</v>
      </c>
      <c r="E55" s="3">
        <v>226</v>
      </c>
      <c r="F55" s="2">
        <v>264646</v>
      </c>
      <c r="G55" s="3">
        <v>171675.86020000002</v>
      </c>
      <c r="H55" s="3">
        <v>18445.8262</v>
      </c>
      <c r="I55" s="3">
        <v>8121</v>
      </c>
      <c r="J55" s="3">
        <v>11173</v>
      </c>
      <c r="K55" s="8">
        <v>15031.8928</v>
      </c>
      <c r="L55" s="3">
        <f>SUM(FinancialAnalysis[[#This Row],[Marketing Expense]:[Other Expense]])</f>
        <v>52771.718999999997</v>
      </c>
      <c r="M55" s="3">
        <f>FinancialAnalysis[[#This Row],[Revenue]]-FinancialAnalysis[[#This Row],[Cost of Goods Sold]]</f>
        <v>92970.139799999975</v>
      </c>
      <c r="N55" s="11">
        <f>FinancialAnalysis[[#This Row],[Gross Profit]]-FinancialAnalysis[[#This Row],[Total Operating Expenses]]</f>
        <v>40198.420799999978</v>
      </c>
      <c r="O55" s="9">
        <f>FinancialAnalysis[[#This Row],[Gross Profit]]/FinancialAnalysis[[#This Row],[Revenue]]</f>
        <v>0.35129999999999989</v>
      </c>
      <c r="P55" s="9">
        <f>FinancialAnalysis[[#This Row],[Operating Profit]]/FinancialAnalysis[[#This Row],[Revenue]]</f>
        <v>0.15189506283865986</v>
      </c>
      <c r="Q55" s="4">
        <f>FinancialAnalysis[[#This Row],[Revenue]]/FinancialAnalysis[[#This Row],[Units Sold]]</f>
        <v>226</v>
      </c>
      <c r="R55" s="4">
        <f>FinancialAnalysis[[#This Row],[Cost of Goods Sold]]/FinancialAnalysis[[#This Row],[Units Sold]]</f>
        <v>146.60620000000003</v>
      </c>
      <c r="S55" s="9">
        <f>FinancialAnalysis[[#This Row],[Total Operating Expenses]]/FinancialAnalysis[[#This Row],[Revenue]]</f>
        <v>0.19940493716134006</v>
      </c>
      <c r="T55" s="3" t="str">
        <f>IF(FinancialAnalysis[[#This Row],[Operating Profit]]&gt;0,"Profitable","Not Profitable")</f>
        <v>Profitable</v>
      </c>
    </row>
    <row r="56" spans="1:20" x14ac:dyDescent="0.3">
      <c r="A56" t="s">
        <v>13</v>
      </c>
      <c r="B56" t="s">
        <v>27</v>
      </c>
      <c r="C56" t="s">
        <v>26</v>
      </c>
      <c r="D56" s="1">
        <v>482</v>
      </c>
      <c r="E56" s="3">
        <v>38</v>
      </c>
      <c r="F56" s="2">
        <v>18316</v>
      </c>
      <c r="G56" s="3">
        <v>9194.6319999999996</v>
      </c>
      <c r="H56" s="3">
        <v>1073.3176000000001</v>
      </c>
      <c r="I56" s="3">
        <v>19046</v>
      </c>
      <c r="J56" s="3">
        <v>9883</v>
      </c>
      <c r="K56" s="8">
        <v>849.86239999999998</v>
      </c>
      <c r="L56" s="3">
        <f>SUM(FinancialAnalysis[[#This Row],[Marketing Expense]:[Other Expense]])</f>
        <v>30852.18</v>
      </c>
      <c r="M56" s="3">
        <f>FinancialAnalysis[[#This Row],[Revenue]]-FinancialAnalysis[[#This Row],[Cost of Goods Sold]]</f>
        <v>9121.3680000000004</v>
      </c>
      <c r="N56" s="11">
        <f>FinancialAnalysis[[#This Row],[Gross Profit]]-FinancialAnalysis[[#This Row],[Total Operating Expenses]]</f>
        <v>-21730.811999999998</v>
      </c>
      <c r="O56" s="9">
        <f>FinancialAnalysis[[#This Row],[Gross Profit]]/FinancialAnalysis[[#This Row],[Revenue]]</f>
        <v>0.498</v>
      </c>
      <c r="P56" s="9">
        <f>FinancialAnalysis[[#This Row],[Operating Profit]]/FinancialAnalysis[[#This Row],[Revenue]]</f>
        <v>-1.1864387420834241</v>
      </c>
      <c r="Q56" s="4">
        <f>FinancialAnalysis[[#This Row],[Revenue]]/FinancialAnalysis[[#This Row],[Units Sold]]</f>
        <v>38</v>
      </c>
      <c r="R56" s="4">
        <f>FinancialAnalysis[[#This Row],[Cost of Goods Sold]]/FinancialAnalysis[[#This Row],[Units Sold]]</f>
        <v>19.076000000000001</v>
      </c>
      <c r="S56" s="9">
        <f>FinancialAnalysis[[#This Row],[Total Operating Expenses]]/FinancialAnalysis[[#This Row],[Revenue]]</f>
        <v>1.6844387420834244</v>
      </c>
      <c r="T56" s="3" t="str">
        <f>IF(FinancialAnalysis[[#This Row],[Operating Profit]]&gt;0,"Profitable","Not Profitable")</f>
        <v>Not Profitable</v>
      </c>
    </row>
    <row r="57" spans="1:20" x14ac:dyDescent="0.3">
      <c r="A57" t="s">
        <v>13</v>
      </c>
      <c r="B57" t="s">
        <v>28</v>
      </c>
      <c r="C57" t="s">
        <v>23</v>
      </c>
      <c r="D57" s="1">
        <v>2976</v>
      </c>
      <c r="E57" s="3">
        <v>160</v>
      </c>
      <c r="F57" s="2">
        <v>476160</v>
      </c>
      <c r="G57" s="3">
        <v>281124.864</v>
      </c>
      <c r="H57" s="3">
        <v>23665.152000000002</v>
      </c>
      <c r="I57" s="3">
        <v>9450</v>
      </c>
      <c r="J57" s="3">
        <v>2253</v>
      </c>
      <c r="K57" s="8">
        <v>26379.263999999999</v>
      </c>
      <c r="L57" s="3">
        <f>SUM(FinancialAnalysis[[#This Row],[Marketing Expense]:[Other Expense]])</f>
        <v>61747.415999999997</v>
      </c>
      <c r="M57" s="3">
        <f>FinancialAnalysis[[#This Row],[Revenue]]-FinancialAnalysis[[#This Row],[Cost of Goods Sold]]</f>
        <v>195035.136</v>
      </c>
      <c r="N57" s="11">
        <f>FinancialAnalysis[[#This Row],[Gross Profit]]-FinancialAnalysis[[#This Row],[Total Operating Expenses]]</f>
        <v>133287.72</v>
      </c>
      <c r="O57" s="9">
        <f>FinancialAnalysis[[#This Row],[Gross Profit]]/FinancialAnalysis[[#This Row],[Revenue]]</f>
        <v>0.40960000000000002</v>
      </c>
      <c r="P57" s="9">
        <f>FinancialAnalysis[[#This Row],[Operating Profit]]/FinancialAnalysis[[#This Row],[Revenue]]</f>
        <v>0.27992212701612901</v>
      </c>
      <c r="Q57" s="4">
        <f>FinancialAnalysis[[#This Row],[Revenue]]/FinancialAnalysis[[#This Row],[Units Sold]]</f>
        <v>160</v>
      </c>
      <c r="R57" s="4">
        <f>FinancialAnalysis[[#This Row],[Cost of Goods Sold]]/FinancialAnalysis[[#This Row],[Units Sold]]</f>
        <v>94.463999999999999</v>
      </c>
      <c r="S57" s="9">
        <f>FinancialAnalysis[[#This Row],[Total Operating Expenses]]/FinancialAnalysis[[#This Row],[Revenue]]</f>
        <v>0.12967787298387096</v>
      </c>
      <c r="T57" s="3" t="str">
        <f>IF(FinancialAnalysis[[#This Row],[Operating Profit]]&gt;0,"Profitable","Not Profitable")</f>
        <v>Profitable</v>
      </c>
    </row>
    <row r="58" spans="1:20" x14ac:dyDescent="0.3">
      <c r="A58" t="s">
        <v>13</v>
      </c>
      <c r="B58" t="s">
        <v>28</v>
      </c>
      <c r="C58" t="s">
        <v>29</v>
      </c>
      <c r="D58" s="1">
        <v>2282</v>
      </c>
      <c r="E58" s="3">
        <v>54</v>
      </c>
      <c r="F58" s="2">
        <v>123228</v>
      </c>
      <c r="G58" s="3">
        <v>59383.573199999999</v>
      </c>
      <c r="H58" s="3">
        <v>5816.3616000000002</v>
      </c>
      <c r="I58" s="3">
        <v>12171</v>
      </c>
      <c r="J58" s="3">
        <v>5649</v>
      </c>
      <c r="K58" s="8">
        <v>2982.1176</v>
      </c>
      <c r="L58" s="3">
        <f>SUM(FinancialAnalysis[[#This Row],[Marketing Expense]:[Other Expense]])</f>
        <v>26618.479200000002</v>
      </c>
      <c r="M58" s="3">
        <f>FinancialAnalysis[[#This Row],[Revenue]]-FinancialAnalysis[[#This Row],[Cost of Goods Sold]]</f>
        <v>63844.426800000001</v>
      </c>
      <c r="N58" s="11">
        <f>FinancialAnalysis[[#This Row],[Gross Profit]]-FinancialAnalysis[[#This Row],[Total Operating Expenses]]</f>
        <v>37225.9476</v>
      </c>
      <c r="O58" s="9">
        <f>FinancialAnalysis[[#This Row],[Gross Profit]]/FinancialAnalysis[[#This Row],[Revenue]]</f>
        <v>0.5181</v>
      </c>
      <c r="P58" s="9">
        <f>FinancialAnalysis[[#This Row],[Operating Profit]]/FinancialAnalysis[[#This Row],[Revenue]]</f>
        <v>0.30209000876424191</v>
      </c>
      <c r="Q58" s="4">
        <f>FinancialAnalysis[[#This Row],[Revenue]]/FinancialAnalysis[[#This Row],[Units Sold]]</f>
        <v>54</v>
      </c>
      <c r="R58" s="4">
        <f>FinancialAnalysis[[#This Row],[Cost of Goods Sold]]/FinancialAnalysis[[#This Row],[Units Sold]]</f>
        <v>26.022600000000001</v>
      </c>
      <c r="S58" s="9">
        <f>FinancialAnalysis[[#This Row],[Total Operating Expenses]]/FinancialAnalysis[[#This Row],[Revenue]]</f>
        <v>0.21600999123575812</v>
      </c>
      <c r="T58" s="3" t="str">
        <f>IF(FinancialAnalysis[[#This Row],[Operating Profit]]&gt;0,"Profitable","Not Profitable")</f>
        <v>Profitable</v>
      </c>
    </row>
    <row r="59" spans="1:20" x14ac:dyDescent="0.3">
      <c r="A59" t="s">
        <v>13</v>
      </c>
      <c r="B59" t="s">
        <v>28</v>
      </c>
      <c r="C59" t="s">
        <v>24</v>
      </c>
      <c r="D59" s="1">
        <v>2949</v>
      </c>
      <c r="E59" s="3">
        <v>63</v>
      </c>
      <c r="F59" s="2">
        <v>185787</v>
      </c>
      <c r="G59" s="3">
        <v>107440.62210000001</v>
      </c>
      <c r="H59" s="3">
        <v>6836.9615999999996</v>
      </c>
      <c r="I59" s="3">
        <v>11973</v>
      </c>
      <c r="J59" s="3">
        <v>2685</v>
      </c>
      <c r="K59" s="8">
        <v>7412.9013000000004</v>
      </c>
      <c r="L59" s="3">
        <f>SUM(FinancialAnalysis[[#This Row],[Marketing Expense]:[Other Expense]])</f>
        <v>28907.8629</v>
      </c>
      <c r="M59" s="3">
        <f>FinancialAnalysis[[#This Row],[Revenue]]-FinancialAnalysis[[#This Row],[Cost of Goods Sold]]</f>
        <v>78346.377899999992</v>
      </c>
      <c r="N59" s="11">
        <f>FinancialAnalysis[[#This Row],[Gross Profit]]-FinancialAnalysis[[#This Row],[Total Operating Expenses]]</f>
        <v>49438.514999999992</v>
      </c>
      <c r="O59" s="9">
        <f>FinancialAnalysis[[#This Row],[Gross Profit]]/FinancialAnalysis[[#This Row],[Revenue]]</f>
        <v>0.42169999999999996</v>
      </c>
      <c r="P59" s="9">
        <f>FinancialAnalysis[[#This Row],[Operating Profit]]/FinancialAnalysis[[#This Row],[Revenue]]</f>
        <v>0.26610319882446021</v>
      </c>
      <c r="Q59" s="4">
        <f>FinancialAnalysis[[#This Row],[Revenue]]/FinancialAnalysis[[#This Row],[Units Sold]]</f>
        <v>63</v>
      </c>
      <c r="R59" s="4">
        <f>FinancialAnalysis[[#This Row],[Cost of Goods Sold]]/FinancialAnalysis[[#This Row],[Units Sold]]</f>
        <v>36.432900000000004</v>
      </c>
      <c r="S59" s="9">
        <f>FinancialAnalysis[[#This Row],[Total Operating Expenses]]/FinancialAnalysis[[#This Row],[Revenue]]</f>
        <v>0.15559680117553973</v>
      </c>
      <c r="T59" s="3" t="str">
        <f>IF(FinancialAnalysis[[#This Row],[Operating Profit]]&gt;0,"Profitable","Not Profitable")</f>
        <v>Profitable</v>
      </c>
    </row>
    <row r="60" spans="1:20" x14ac:dyDescent="0.3">
      <c r="A60" t="s">
        <v>13</v>
      </c>
      <c r="B60" t="s">
        <v>28</v>
      </c>
      <c r="C60" t="s">
        <v>25</v>
      </c>
      <c r="D60" s="1">
        <v>1205</v>
      </c>
      <c r="E60" s="3">
        <v>356</v>
      </c>
      <c r="F60" s="2">
        <v>428980</v>
      </c>
      <c r="G60" s="3">
        <v>294880.85200000001</v>
      </c>
      <c r="H60" s="3">
        <v>8751.1920000000009</v>
      </c>
      <c r="I60" s="3">
        <v>9710</v>
      </c>
      <c r="J60" s="3">
        <v>4944</v>
      </c>
      <c r="K60" s="8">
        <v>20676.835999999999</v>
      </c>
      <c r="L60" s="3">
        <f>SUM(FinancialAnalysis[[#This Row],[Marketing Expense]:[Other Expense]])</f>
        <v>44082.028000000006</v>
      </c>
      <c r="M60" s="3">
        <f>FinancialAnalysis[[#This Row],[Revenue]]-FinancialAnalysis[[#This Row],[Cost of Goods Sold]]</f>
        <v>134099.14799999999</v>
      </c>
      <c r="N60" s="11">
        <f>FinancialAnalysis[[#This Row],[Gross Profit]]-FinancialAnalysis[[#This Row],[Total Operating Expenses]]</f>
        <v>90017.119999999981</v>
      </c>
      <c r="O60" s="9">
        <f>FinancialAnalysis[[#This Row],[Gross Profit]]/FinancialAnalysis[[#This Row],[Revenue]]</f>
        <v>0.31259999999999999</v>
      </c>
      <c r="P60" s="9">
        <f>FinancialAnalysis[[#This Row],[Operating Profit]]/FinancialAnalysis[[#This Row],[Revenue]]</f>
        <v>0.20983989929600444</v>
      </c>
      <c r="Q60" s="4">
        <f>FinancialAnalysis[[#This Row],[Revenue]]/FinancialAnalysis[[#This Row],[Units Sold]]</f>
        <v>356</v>
      </c>
      <c r="R60" s="4">
        <f>FinancialAnalysis[[#This Row],[Cost of Goods Sold]]/FinancialAnalysis[[#This Row],[Units Sold]]</f>
        <v>244.71440000000001</v>
      </c>
      <c r="S60" s="9">
        <f>FinancialAnalysis[[#This Row],[Total Operating Expenses]]/FinancialAnalysis[[#This Row],[Revenue]]</f>
        <v>0.10276010070399554</v>
      </c>
      <c r="T60" s="3" t="str">
        <f>IF(FinancialAnalysis[[#This Row],[Operating Profit]]&gt;0,"Profitable","Not Profitable")</f>
        <v>Profitable</v>
      </c>
    </row>
    <row r="61" spans="1:20" x14ac:dyDescent="0.3">
      <c r="A61" t="s">
        <v>13</v>
      </c>
      <c r="B61" t="s">
        <v>28</v>
      </c>
      <c r="C61" t="s">
        <v>26</v>
      </c>
      <c r="D61" s="1">
        <v>3421</v>
      </c>
      <c r="E61" s="3">
        <v>62</v>
      </c>
      <c r="F61" s="2">
        <v>212102</v>
      </c>
      <c r="G61" s="3">
        <v>141047.83000000002</v>
      </c>
      <c r="H61" s="3">
        <v>9417.3288000000011</v>
      </c>
      <c r="I61" s="3">
        <v>13244</v>
      </c>
      <c r="J61" s="3">
        <v>5995</v>
      </c>
      <c r="K61" s="8">
        <v>5875.2254000000003</v>
      </c>
      <c r="L61" s="3">
        <f>SUM(FinancialAnalysis[[#This Row],[Marketing Expense]:[Other Expense]])</f>
        <v>34531.554200000006</v>
      </c>
      <c r="M61" s="3">
        <f>FinancialAnalysis[[#This Row],[Revenue]]-FinancialAnalysis[[#This Row],[Cost of Goods Sold]]</f>
        <v>71054.169999999984</v>
      </c>
      <c r="N61" s="11">
        <f>FinancialAnalysis[[#This Row],[Gross Profit]]-FinancialAnalysis[[#This Row],[Total Operating Expenses]]</f>
        <v>36522.615799999978</v>
      </c>
      <c r="O61" s="9">
        <f>FinancialAnalysis[[#This Row],[Gross Profit]]/FinancialAnalysis[[#This Row],[Revenue]]</f>
        <v>0.33499999999999991</v>
      </c>
      <c r="P61" s="9">
        <f>FinancialAnalysis[[#This Row],[Operating Profit]]/FinancialAnalysis[[#This Row],[Revenue]]</f>
        <v>0.17219364173840879</v>
      </c>
      <c r="Q61" s="4">
        <f>FinancialAnalysis[[#This Row],[Revenue]]/FinancialAnalysis[[#This Row],[Units Sold]]</f>
        <v>62</v>
      </c>
      <c r="R61" s="4">
        <f>FinancialAnalysis[[#This Row],[Cost of Goods Sold]]/FinancialAnalysis[[#This Row],[Units Sold]]</f>
        <v>41.230000000000004</v>
      </c>
      <c r="S61" s="9">
        <f>FinancialAnalysis[[#This Row],[Total Operating Expenses]]/FinancialAnalysis[[#This Row],[Revenue]]</f>
        <v>0.16280635826159115</v>
      </c>
      <c r="T61" s="3" t="str">
        <f>IF(FinancialAnalysis[[#This Row],[Operating Profit]]&gt;0,"Profitable","Not Profitable")</f>
        <v>Profitable</v>
      </c>
    </row>
    <row r="62" spans="1:20" x14ac:dyDescent="0.3">
      <c r="A62" t="s">
        <v>14</v>
      </c>
      <c r="B62" t="s">
        <v>22</v>
      </c>
      <c r="C62" t="s">
        <v>23</v>
      </c>
      <c r="D62" s="1">
        <v>1521</v>
      </c>
      <c r="E62" s="3">
        <v>223</v>
      </c>
      <c r="F62" s="2">
        <v>339183</v>
      </c>
      <c r="G62" s="3">
        <v>200389.31640000001</v>
      </c>
      <c r="H62" s="3">
        <v>21605.957100000003</v>
      </c>
      <c r="I62" s="3">
        <v>11053</v>
      </c>
      <c r="J62" s="3">
        <v>3085</v>
      </c>
      <c r="K62" s="8">
        <v>12515.852699999999</v>
      </c>
      <c r="L62" s="3">
        <f>SUM(FinancialAnalysis[[#This Row],[Marketing Expense]:[Other Expense]])</f>
        <v>48259.809800000003</v>
      </c>
      <c r="M62" s="3">
        <f>FinancialAnalysis[[#This Row],[Revenue]]-FinancialAnalysis[[#This Row],[Cost of Goods Sold]]</f>
        <v>138793.68359999999</v>
      </c>
      <c r="N62" s="11">
        <f>FinancialAnalysis[[#This Row],[Gross Profit]]-FinancialAnalysis[[#This Row],[Total Operating Expenses]]</f>
        <v>90533.873799999987</v>
      </c>
      <c r="O62" s="9">
        <f>FinancialAnalysis[[#This Row],[Gross Profit]]/FinancialAnalysis[[#This Row],[Revenue]]</f>
        <v>0.40919999999999995</v>
      </c>
      <c r="P62" s="9">
        <f>FinancialAnalysis[[#This Row],[Operating Profit]]/FinancialAnalysis[[#This Row],[Revenue]]</f>
        <v>0.26691748643062885</v>
      </c>
      <c r="Q62" s="4">
        <f>FinancialAnalysis[[#This Row],[Revenue]]/FinancialAnalysis[[#This Row],[Units Sold]]</f>
        <v>223</v>
      </c>
      <c r="R62" s="4">
        <f>FinancialAnalysis[[#This Row],[Cost of Goods Sold]]/FinancialAnalysis[[#This Row],[Units Sold]]</f>
        <v>131.7484</v>
      </c>
      <c r="S62" s="9">
        <f>FinancialAnalysis[[#This Row],[Total Operating Expenses]]/FinancialAnalysis[[#This Row],[Revenue]]</f>
        <v>0.14228251356937111</v>
      </c>
      <c r="T62" s="3" t="str">
        <f>IF(FinancialAnalysis[[#This Row],[Operating Profit]]&gt;0,"Profitable","Not Profitable")</f>
        <v>Profitable</v>
      </c>
    </row>
    <row r="63" spans="1:20" x14ac:dyDescent="0.3">
      <c r="A63" t="s">
        <v>14</v>
      </c>
      <c r="B63" t="s">
        <v>22</v>
      </c>
      <c r="C63" t="s">
        <v>29</v>
      </c>
      <c r="D63" s="1">
        <v>703</v>
      </c>
      <c r="E63" s="3">
        <v>58</v>
      </c>
      <c r="F63" s="2">
        <v>40774</v>
      </c>
      <c r="G63" s="3">
        <v>20048.575800000002</v>
      </c>
      <c r="H63" s="3">
        <v>3176.2945999999997</v>
      </c>
      <c r="I63" s="3">
        <v>6595</v>
      </c>
      <c r="J63" s="3">
        <v>1578</v>
      </c>
      <c r="K63" s="8">
        <v>2389.3564000000001</v>
      </c>
      <c r="L63" s="3">
        <f>SUM(FinancialAnalysis[[#This Row],[Marketing Expense]:[Other Expense]])</f>
        <v>13738.651</v>
      </c>
      <c r="M63" s="3">
        <f>FinancialAnalysis[[#This Row],[Revenue]]-FinancialAnalysis[[#This Row],[Cost of Goods Sold]]</f>
        <v>20725.424199999998</v>
      </c>
      <c r="N63" s="11">
        <f>FinancialAnalysis[[#This Row],[Gross Profit]]-FinancialAnalysis[[#This Row],[Total Operating Expenses]]</f>
        <v>6986.7731999999978</v>
      </c>
      <c r="O63" s="9">
        <f>FinancialAnalysis[[#This Row],[Gross Profit]]/FinancialAnalysis[[#This Row],[Revenue]]</f>
        <v>0.50829999999999997</v>
      </c>
      <c r="P63" s="9">
        <f>FinancialAnalysis[[#This Row],[Operating Profit]]/FinancialAnalysis[[#This Row],[Revenue]]</f>
        <v>0.17135363712169516</v>
      </c>
      <c r="Q63" s="4">
        <f>FinancialAnalysis[[#This Row],[Revenue]]/FinancialAnalysis[[#This Row],[Units Sold]]</f>
        <v>58</v>
      </c>
      <c r="R63" s="4">
        <f>FinancialAnalysis[[#This Row],[Cost of Goods Sold]]/FinancialAnalysis[[#This Row],[Units Sold]]</f>
        <v>28.518600000000003</v>
      </c>
      <c r="S63" s="9">
        <f>FinancialAnalysis[[#This Row],[Total Operating Expenses]]/FinancialAnalysis[[#This Row],[Revenue]]</f>
        <v>0.33694636287830482</v>
      </c>
      <c r="T63" s="3" t="str">
        <f>IF(FinancialAnalysis[[#This Row],[Operating Profit]]&gt;0,"Profitable","Not Profitable")</f>
        <v>Profitable</v>
      </c>
    </row>
    <row r="64" spans="1:20" x14ac:dyDescent="0.3">
      <c r="A64" t="s">
        <v>14</v>
      </c>
      <c r="B64" t="s">
        <v>22</v>
      </c>
      <c r="C64" t="s">
        <v>24</v>
      </c>
      <c r="D64" s="1">
        <v>938</v>
      </c>
      <c r="E64" s="3">
        <v>76</v>
      </c>
      <c r="F64" s="2">
        <v>71288</v>
      </c>
      <c r="G64" s="3">
        <v>44205.688799999996</v>
      </c>
      <c r="H64" s="3">
        <v>6708.2008000000005</v>
      </c>
      <c r="I64" s="3">
        <v>9942</v>
      </c>
      <c r="J64" s="3">
        <v>2481</v>
      </c>
      <c r="K64" s="8">
        <v>2473.6936000000001</v>
      </c>
      <c r="L64" s="3">
        <f>SUM(FinancialAnalysis[[#This Row],[Marketing Expense]:[Other Expense]])</f>
        <v>21604.894399999997</v>
      </c>
      <c r="M64" s="3">
        <f>FinancialAnalysis[[#This Row],[Revenue]]-FinancialAnalysis[[#This Row],[Cost of Goods Sold]]</f>
        <v>27082.311200000004</v>
      </c>
      <c r="N64" s="11">
        <f>FinancialAnalysis[[#This Row],[Gross Profit]]-FinancialAnalysis[[#This Row],[Total Operating Expenses]]</f>
        <v>5477.4168000000063</v>
      </c>
      <c r="O64" s="9">
        <f>FinancialAnalysis[[#This Row],[Gross Profit]]/FinancialAnalysis[[#This Row],[Revenue]]</f>
        <v>0.37990000000000007</v>
      </c>
      <c r="P64" s="9">
        <f>FinancialAnalysis[[#This Row],[Operating Profit]]/FinancialAnalysis[[#This Row],[Revenue]]</f>
        <v>7.6835046571653104E-2</v>
      </c>
      <c r="Q64" s="4">
        <f>FinancialAnalysis[[#This Row],[Revenue]]/FinancialAnalysis[[#This Row],[Units Sold]]</f>
        <v>76</v>
      </c>
      <c r="R64" s="4">
        <f>FinancialAnalysis[[#This Row],[Cost of Goods Sold]]/FinancialAnalysis[[#This Row],[Units Sold]]</f>
        <v>47.127599999999994</v>
      </c>
      <c r="S64" s="9">
        <f>FinancialAnalysis[[#This Row],[Total Operating Expenses]]/FinancialAnalysis[[#This Row],[Revenue]]</f>
        <v>0.30306495342834694</v>
      </c>
      <c r="T64" s="3" t="str">
        <f>IF(FinancialAnalysis[[#This Row],[Operating Profit]]&gt;0,"Profitable","Not Profitable")</f>
        <v>Profitable</v>
      </c>
    </row>
    <row r="65" spans="1:20" x14ac:dyDescent="0.3">
      <c r="A65" t="s">
        <v>14</v>
      </c>
      <c r="B65" t="s">
        <v>22</v>
      </c>
      <c r="C65" t="s">
        <v>25</v>
      </c>
      <c r="D65" s="1">
        <v>1297</v>
      </c>
      <c r="E65" s="3">
        <v>363</v>
      </c>
      <c r="F65" s="2">
        <v>470811</v>
      </c>
      <c r="G65" s="3">
        <v>294209.79389999999</v>
      </c>
      <c r="H65" s="3">
        <v>33145.094400000002</v>
      </c>
      <c r="I65" s="3">
        <v>11638</v>
      </c>
      <c r="J65" s="3">
        <v>3137</v>
      </c>
      <c r="K65" s="8">
        <v>18032.061300000001</v>
      </c>
      <c r="L65" s="3">
        <f>SUM(FinancialAnalysis[[#This Row],[Marketing Expense]:[Other Expense]])</f>
        <v>65952.155700000003</v>
      </c>
      <c r="M65" s="3">
        <f>FinancialAnalysis[[#This Row],[Revenue]]-FinancialAnalysis[[#This Row],[Cost of Goods Sold]]</f>
        <v>176601.20610000001</v>
      </c>
      <c r="N65" s="11">
        <f>FinancialAnalysis[[#This Row],[Gross Profit]]-FinancialAnalysis[[#This Row],[Total Operating Expenses]]</f>
        <v>110649.05040000001</v>
      </c>
      <c r="O65" s="9">
        <f>FinancialAnalysis[[#This Row],[Gross Profit]]/FinancialAnalysis[[#This Row],[Revenue]]</f>
        <v>0.37510000000000004</v>
      </c>
      <c r="P65" s="9">
        <f>FinancialAnalysis[[#This Row],[Operating Profit]]/FinancialAnalysis[[#This Row],[Revenue]]</f>
        <v>0.23501798046349812</v>
      </c>
      <c r="Q65" s="4">
        <f>FinancialAnalysis[[#This Row],[Revenue]]/FinancialAnalysis[[#This Row],[Units Sold]]</f>
        <v>363</v>
      </c>
      <c r="R65" s="4">
        <f>FinancialAnalysis[[#This Row],[Cost of Goods Sold]]/FinancialAnalysis[[#This Row],[Units Sold]]</f>
        <v>226.83869999999999</v>
      </c>
      <c r="S65" s="9">
        <f>FinancialAnalysis[[#This Row],[Total Operating Expenses]]/FinancialAnalysis[[#This Row],[Revenue]]</f>
        <v>0.14008201953650193</v>
      </c>
      <c r="T65" s="3" t="str">
        <f>IF(FinancialAnalysis[[#This Row],[Operating Profit]]&gt;0,"Profitable","Not Profitable")</f>
        <v>Profitable</v>
      </c>
    </row>
    <row r="66" spans="1:20" x14ac:dyDescent="0.3">
      <c r="A66" t="s">
        <v>14</v>
      </c>
      <c r="B66" t="s">
        <v>22</v>
      </c>
      <c r="C66" t="s">
        <v>26</v>
      </c>
      <c r="D66" s="1">
        <v>1009</v>
      </c>
      <c r="E66" s="3">
        <v>42</v>
      </c>
      <c r="F66" s="2">
        <v>42378</v>
      </c>
      <c r="G66" s="3">
        <v>28215.272399999998</v>
      </c>
      <c r="H66" s="3">
        <v>5017.5551999999998</v>
      </c>
      <c r="I66" s="3">
        <v>4205</v>
      </c>
      <c r="J66" s="3">
        <v>3930</v>
      </c>
      <c r="K66" s="8">
        <v>2135.8512000000001</v>
      </c>
      <c r="L66" s="3">
        <f>SUM(FinancialAnalysis[[#This Row],[Marketing Expense]:[Other Expense]])</f>
        <v>15288.4064</v>
      </c>
      <c r="M66" s="3">
        <f>FinancialAnalysis[[#This Row],[Revenue]]-FinancialAnalysis[[#This Row],[Cost of Goods Sold]]</f>
        <v>14162.727600000002</v>
      </c>
      <c r="N66" s="11">
        <f>FinancialAnalysis[[#This Row],[Gross Profit]]-FinancialAnalysis[[#This Row],[Total Operating Expenses]]</f>
        <v>-1125.6787999999979</v>
      </c>
      <c r="O66" s="9">
        <f>FinancialAnalysis[[#This Row],[Gross Profit]]/FinancialAnalysis[[#This Row],[Revenue]]</f>
        <v>0.33420000000000005</v>
      </c>
      <c r="P66" s="9">
        <f>FinancialAnalysis[[#This Row],[Operating Profit]]/FinancialAnalysis[[#This Row],[Revenue]]</f>
        <v>-2.6562810892444142E-2</v>
      </c>
      <c r="Q66" s="4">
        <f>FinancialAnalysis[[#This Row],[Revenue]]/FinancialAnalysis[[#This Row],[Units Sold]]</f>
        <v>42</v>
      </c>
      <c r="R66" s="4">
        <f>FinancialAnalysis[[#This Row],[Cost of Goods Sold]]/FinancialAnalysis[[#This Row],[Units Sold]]</f>
        <v>27.9636</v>
      </c>
      <c r="S66" s="9">
        <f>FinancialAnalysis[[#This Row],[Total Operating Expenses]]/FinancialAnalysis[[#This Row],[Revenue]]</f>
        <v>0.36076281089244416</v>
      </c>
      <c r="T66" s="3" t="str">
        <f>IF(FinancialAnalysis[[#This Row],[Operating Profit]]&gt;0,"Profitable","Not Profitable")</f>
        <v>Not Profitable</v>
      </c>
    </row>
    <row r="67" spans="1:20" x14ac:dyDescent="0.3">
      <c r="A67" t="s">
        <v>14</v>
      </c>
      <c r="B67" t="s">
        <v>27</v>
      </c>
      <c r="C67" t="s">
        <v>23</v>
      </c>
      <c r="D67" s="1">
        <v>688</v>
      </c>
      <c r="E67" s="3">
        <v>172</v>
      </c>
      <c r="F67" s="2">
        <v>118336</v>
      </c>
      <c r="G67" s="3">
        <v>72871.308799999999</v>
      </c>
      <c r="H67" s="3">
        <v>4532.2687999999998</v>
      </c>
      <c r="I67" s="3">
        <v>8219</v>
      </c>
      <c r="J67" s="3">
        <v>13727</v>
      </c>
      <c r="K67" s="8">
        <v>3124.0704000000001</v>
      </c>
      <c r="L67" s="3">
        <f>SUM(FinancialAnalysis[[#This Row],[Marketing Expense]:[Other Expense]])</f>
        <v>29602.339199999999</v>
      </c>
      <c r="M67" s="3">
        <f>FinancialAnalysis[[#This Row],[Revenue]]-FinancialAnalysis[[#This Row],[Cost of Goods Sold]]</f>
        <v>45464.691200000001</v>
      </c>
      <c r="N67" s="11">
        <f>FinancialAnalysis[[#This Row],[Gross Profit]]-FinancialAnalysis[[#This Row],[Total Operating Expenses]]</f>
        <v>15862.352000000003</v>
      </c>
      <c r="O67" s="9">
        <f>FinancialAnalysis[[#This Row],[Gross Profit]]/FinancialAnalysis[[#This Row],[Revenue]]</f>
        <v>0.38419999999999999</v>
      </c>
      <c r="P67" s="9">
        <f>FinancialAnalysis[[#This Row],[Operating Profit]]/FinancialAnalysis[[#This Row],[Revenue]]</f>
        <v>0.13404502433747975</v>
      </c>
      <c r="Q67" s="4">
        <f>FinancialAnalysis[[#This Row],[Revenue]]/FinancialAnalysis[[#This Row],[Units Sold]]</f>
        <v>172</v>
      </c>
      <c r="R67" s="4">
        <f>FinancialAnalysis[[#This Row],[Cost of Goods Sold]]/FinancialAnalysis[[#This Row],[Units Sold]]</f>
        <v>105.91759999999999</v>
      </c>
      <c r="S67" s="9">
        <f>FinancialAnalysis[[#This Row],[Total Operating Expenses]]/FinancialAnalysis[[#This Row],[Revenue]]</f>
        <v>0.25015497566252026</v>
      </c>
      <c r="T67" s="3" t="str">
        <f>IF(FinancialAnalysis[[#This Row],[Operating Profit]]&gt;0,"Profitable","Not Profitable")</f>
        <v>Profitable</v>
      </c>
    </row>
    <row r="68" spans="1:20" x14ac:dyDescent="0.3">
      <c r="A68" t="s">
        <v>14</v>
      </c>
      <c r="B68" t="s">
        <v>27</v>
      </c>
      <c r="C68" t="s">
        <v>29</v>
      </c>
      <c r="D68" s="1">
        <v>1237</v>
      </c>
      <c r="E68" s="3">
        <v>73</v>
      </c>
      <c r="F68" s="2">
        <v>90301</v>
      </c>
      <c r="G68" s="3">
        <v>42676.2526</v>
      </c>
      <c r="H68" s="3">
        <v>3557.8593999999998</v>
      </c>
      <c r="I68" s="3">
        <v>10435</v>
      </c>
      <c r="J68" s="3">
        <v>7507</v>
      </c>
      <c r="K68" s="8">
        <v>3467.5583999999999</v>
      </c>
      <c r="L68" s="3">
        <f>SUM(FinancialAnalysis[[#This Row],[Marketing Expense]:[Other Expense]])</f>
        <v>24967.417800000003</v>
      </c>
      <c r="M68" s="3">
        <f>FinancialAnalysis[[#This Row],[Revenue]]-FinancialAnalysis[[#This Row],[Cost of Goods Sold]]</f>
        <v>47624.7474</v>
      </c>
      <c r="N68" s="11">
        <f>FinancialAnalysis[[#This Row],[Gross Profit]]-FinancialAnalysis[[#This Row],[Total Operating Expenses]]</f>
        <v>22657.329599999997</v>
      </c>
      <c r="O68" s="9">
        <f>FinancialAnalysis[[#This Row],[Gross Profit]]/FinancialAnalysis[[#This Row],[Revenue]]</f>
        <v>0.52739999999999998</v>
      </c>
      <c r="P68" s="9">
        <f>FinancialAnalysis[[#This Row],[Operating Profit]]/FinancialAnalysis[[#This Row],[Revenue]]</f>
        <v>0.25090895560403537</v>
      </c>
      <c r="Q68" s="4">
        <f>FinancialAnalysis[[#This Row],[Revenue]]/FinancialAnalysis[[#This Row],[Units Sold]]</f>
        <v>73</v>
      </c>
      <c r="R68" s="4">
        <f>FinancialAnalysis[[#This Row],[Cost of Goods Sold]]/FinancialAnalysis[[#This Row],[Units Sold]]</f>
        <v>34.4998</v>
      </c>
      <c r="S68" s="9">
        <f>FinancialAnalysis[[#This Row],[Total Operating Expenses]]/FinancialAnalysis[[#This Row],[Revenue]]</f>
        <v>0.27649104439596461</v>
      </c>
      <c r="T68" s="3" t="str">
        <f>IF(FinancialAnalysis[[#This Row],[Operating Profit]]&gt;0,"Profitable","Not Profitable")</f>
        <v>Profitable</v>
      </c>
    </row>
    <row r="69" spans="1:20" x14ac:dyDescent="0.3">
      <c r="A69" t="s">
        <v>14</v>
      </c>
      <c r="B69" t="s">
        <v>27</v>
      </c>
      <c r="C69" t="s">
        <v>24</v>
      </c>
      <c r="D69" s="1">
        <v>389</v>
      </c>
      <c r="E69" s="3">
        <v>63</v>
      </c>
      <c r="F69" s="2">
        <v>24507</v>
      </c>
      <c r="G69" s="3">
        <v>12777.949799999999</v>
      </c>
      <c r="H69" s="3">
        <v>963.12510000000009</v>
      </c>
      <c r="I69" s="3">
        <v>8302</v>
      </c>
      <c r="J69" s="3">
        <v>7192</v>
      </c>
      <c r="K69" s="8">
        <v>879.80129999999997</v>
      </c>
      <c r="L69" s="3">
        <f>SUM(FinancialAnalysis[[#This Row],[Marketing Expense]:[Other Expense]])</f>
        <v>17336.926399999997</v>
      </c>
      <c r="M69" s="3">
        <f>FinancialAnalysis[[#This Row],[Revenue]]-FinancialAnalysis[[#This Row],[Cost of Goods Sold]]</f>
        <v>11729.050200000001</v>
      </c>
      <c r="N69" s="11">
        <f>FinancialAnalysis[[#This Row],[Gross Profit]]-FinancialAnalysis[[#This Row],[Total Operating Expenses]]</f>
        <v>-5607.8761999999952</v>
      </c>
      <c r="O69" s="9">
        <f>FinancialAnalysis[[#This Row],[Gross Profit]]/FinancialAnalysis[[#This Row],[Revenue]]</f>
        <v>0.47860000000000008</v>
      </c>
      <c r="P69" s="9">
        <f>FinancialAnalysis[[#This Row],[Operating Profit]]/FinancialAnalysis[[#This Row],[Revenue]]</f>
        <v>-0.22882752682906904</v>
      </c>
      <c r="Q69" s="4">
        <f>FinancialAnalysis[[#This Row],[Revenue]]/FinancialAnalysis[[#This Row],[Units Sold]]</f>
        <v>63</v>
      </c>
      <c r="R69" s="4">
        <f>FinancialAnalysis[[#This Row],[Cost of Goods Sold]]/FinancialAnalysis[[#This Row],[Units Sold]]</f>
        <v>32.848199999999999</v>
      </c>
      <c r="S69" s="9">
        <f>FinancialAnalysis[[#This Row],[Total Operating Expenses]]/FinancialAnalysis[[#This Row],[Revenue]]</f>
        <v>0.70742752682906906</v>
      </c>
      <c r="T69" s="3" t="str">
        <f>IF(FinancialAnalysis[[#This Row],[Operating Profit]]&gt;0,"Profitable","Not Profitable")</f>
        <v>Not Profitable</v>
      </c>
    </row>
    <row r="70" spans="1:20" x14ac:dyDescent="0.3">
      <c r="A70" t="s">
        <v>14</v>
      </c>
      <c r="B70" t="s">
        <v>27</v>
      </c>
      <c r="C70" t="s">
        <v>25</v>
      </c>
      <c r="D70" s="1">
        <v>941</v>
      </c>
      <c r="E70" s="3">
        <v>586</v>
      </c>
      <c r="F70" s="2">
        <v>551426</v>
      </c>
      <c r="G70" s="3">
        <v>356221.196</v>
      </c>
      <c r="H70" s="3">
        <v>20843.9028</v>
      </c>
      <c r="I70" s="3">
        <v>12677</v>
      </c>
      <c r="J70" s="3">
        <v>10339</v>
      </c>
      <c r="K70" s="8">
        <v>12076.2294</v>
      </c>
      <c r="L70" s="3">
        <f>SUM(FinancialAnalysis[[#This Row],[Marketing Expense]:[Other Expense]])</f>
        <v>55936.132199999993</v>
      </c>
      <c r="M70" s="3">
        <f>FinancialAnalysis[[#This Row],[Revenue]]-FinancialAnalysis[[#This Row],[Cost of Goods Sold]]</f>
        <v>195204.804</v>
      </c>
      <c r="N70" s="11">
        <f>FinancialAnalysis[[#This Row],[Gross Profit]]-FinancialAnalysis[[#This Row],[Total Operating Expenses]]</f>
        <v>139268.67180000001</v>
      </c>
      <c r="O70" s="9">
        <f>FinancialAnalysis[[#This Row],[Gross Profit]]/FinancialAnalysis[[#This Row],[Revenue]]</f>
        <v>0.35399999999999998</v>
      </c>
      <c r="P70" s="9">
        <f>FinancialAnalysis[[#This Row],[Operating Profit]]/FinancialAnalysis[[#This Row],[Revenue]]</f>
        <v>0.25256094525829398</v>
      </c>
      <c r="Q70" s="4">
        <f>FinancialAnalysis[[#This Row],[Revenue]]/FinancialAnalysis[[#This Row],[Units Sold]]</f>
        <v>586</v>
      </c>
      <c r="R70" s="4">
        <f>FinancialAnalysis[[#This Row],[Cost of Goods Sold]]/FinancialAnalysis[[#This Row],[Units Sold]]</f>
        <v>378.55599999999998</v>
      </c>
      <c r="S70" s="9">
        <f>FinancialAnalysis[[#This Row],[Total Operating Expenses]]/FinancialAnalysis[[#This Row],[Revenue]]</f>
        <v>0.10143905474170603</v>
      </c>
      <c r="T70" s="3" t="str">
        <f>IF(FinancialAnalysis[[#This Row],[Operating Profit]]&gt;0,"Profitable","Not Profitable")</f>
        <v>Profitable</v>
      </c>
    </row>
    <row r="71" spans="1:20" x14ac:dyDescent="0.3">
      <c r="A71" t="s">
        <v>14</v>
      </c>
      <c r="B71" t="s">
        <v>27</v>
      </c>
      <c r="C71" t="s">
        <v>26</v>
      </c>
      <c r="D71" s="1">
        <v>879</v>
      </c>
      <c r="E71" s="3">
        <v>62</v>
      </c>
      <c r="F71" s="2">
        <v>54498</v>
      </c>
      <c r="G71" s="3">
        <v>33875.9568</v>
      </c>
      <c r="H71" s="3">
        <v>2343.4139999999998</v>
      </c>
      <c r="I71" s="3">
        <v>19713</v>
      </c>
      <c r="J71" s="3">
        <v>11320</v>
      </c>
      <c r="K71" s="8">
        <v>3149.9843999999998</v>
      </c>
      <c r="L71" s="3">
        <f>SUM(FinancialAnalysis[[#This Row],[Marketing Expense]:[Other Expense]])</f>
        <v>36526.398400000005</v>
      </c>
      <c r="M71" s="3">
        <f>FinancialAnalysis[[#This Row],[Revenue]]-FinancialAnalysis[[#This Row],[Cost of Goods Sold]]</f>
        <v>20622.0432</v>
      </c>
      <c r="N71" s="11">
        <f>FinancialAnalysis[[#This Row],[Gross Profit]]-FinancialAnalysis[[#This Row],[Total Operating Expenses]]</f>
        <v>-15904.355200000005</v>
      </c>
      <c r="O71" s="9">
        <f>FinancialAnalysis[[#This Row],[Gross Profit]]/FinancialAnalysis[[#This Row],[Revenue]]</f>
        <v>0.37840000000000001</v>
      </c>
      <c r="P71" s="9">
        <f>FinancialAnalysis[[#This Row],[Operating Profit]]/FinancialAnalysis[[#This Row],[Revenue]]</f>
        <v>-0.29183374068773177</v>
      </c>
      <c r="Q71" s="4">
        <f>FinancialAnalysis[[#This Row],[Revenue]]/FinancialAnalysis[[#This Row],[Units Sold]]</f>
        <v>62</v>
      </c>
      <c r="R71" s="4">
        <f>FinancialAnalysis[[#This Row],[Cost of Goods Sold]]/FinancialAnalysis[[#This Row],[Units Sold]]</f>
        <v>38.539200000000001</v>
      </c>
      <c r="S71" s="9">
        <f>FinancialAnalysis[[#This Row],[Total Operating Expenses]]/FinancialAnalysis[[#This Row],[Revenue]]</f>
        <v>0.67023374068773178</v>
      </c>
      <c r="T71" s="3" t="str">
        <f>IF(FinancialAnalysis[[#This Row],[Operating Profit]]&gt;0,"Profitable","Not Profitable")</f>
        <v>Not Profitable</v>
      </c>
    </row>
    <row r="72" spans="1:20" x14ac:dyDescent="0.3">
      <c r="A72" t="s">
        <v>14</v>
      </c>
      <c r="B72" t="s">
        <v>28</v>
      </c>
      <c r="C72" t="s">
        <v>23</v>
      </c>
      <c r="D72" s="1">
        <v>2936</v>
      </c>
      <c r="E72" s="3">
        <v>227</v>
      </c>
      <c r="F72" s="2">
        <v>666472</v>
      </c>
      <c r="G72" s="3">
        <v>443803.70480000001</v>
      </c>
      <c r="H72" s="3">
        <v>15195.561600000001</v>
      </c>
      <c r="I72" s="3">
        <v>13331</v>
      </c>
      <c r="J72" s="3">
        <v>4578</v>
      </c>
      <c r="K72" s="8">
        <v>39788.378400000001</v>
      </c>
      <c r="L72" s="3">
        <f>SUM(FinancialAnalysis[[#This Row],[Marketing Expense]:[Other Expense]])</f>
        <v>72892.94</v>
      </c>
      <c r="M72" s="3">
        <f>FinancialAnalysis[[#This Row],[Revenue]]-FinancialAnalysis[[#This Row],[Cost of Goods Sold]]</f>
        <v>222668.29519999999</v>
      </c>
      <c r="N72" s="11">
        <f>FinancialAnalysis[[#This Row],[Gross Profit]]-FinancialAnalysis[[#This Row],[Total Operating Expenses]]</f>
        <v>149775.35519999999</v>
      </c>
      <c r="O72" s="9">
        <f>FinancialAnalysis[[#This Row],[Gross Profit]]/FinancialAnalysis[[#This Row],[Revenue]]</f>
        <v>0.33410000000000001</v>
      </c>
      <c r="P72" s="9">
        <f>FinancialAnalysis[[#This Row],[Operating Profit]]/FinancialAnalysis[[#This Row],[Revenue]]</f>
        <v>0.22472865356684149</v>
      </c>
      <c r="Q72" s="4">
        <f>FinancialAnalysis[[#This Row],[Revenue]]/FinancialAnalysis[[#This Row],[Units Sold]]</f>
        <v>227</v>
      </c>
      <c r="R72" s="4">
        <f>FinancialAnalysis[[#This Row],[Cost of Goods Sold]]/FinancialAnalysis[[#This Row],[Units Sold]]</f>
        <v>151.1593</v>
      </c>
      <c r="S72" s="9">
        <f>FinancialAnalysis[[#This Row],[Total Operating Expenses]]/FinancialAnalysis[[#This Row],[Revenue]]</f>
        <v>0.10937134643315849</v>
      </c>
      <c r="T72" s="3" t="str">
        <f>IF(FinancialAnalysis[[#This Row],[Operating Profit]]&gt;0,"Profitable","Not Profitable")</f>
        <v>Profitable</v>
      </c>
    </row>
    <row r="73" spans="1:20" x14ac:dyDescent="0.3">
      <c r="A73" t="s">
        <v>14</v>
      </c>
      <c r="B73" t="s">
        <v>28</v>
      </c>
      <c r="C73" t="s">
        <v>29</v>
      </c>
      <c r="D73" s="1">
        <v>1994</v>
      </c>
      <c r="E73" s="3">
        <v>29</v>
      </c>
      <c r="F73" s="2">
        <v>57826</v>
      </c>
      <c r="G73" s="3">
        <v>31838.995599999998</v>
      </c>
      <c r="H73" s="3">
        <v>2498.0832</v>
      </c>
      <c r="I73" s="3">
        <v>11949</v>
      </c>
      <c r="J73" s="3">
        <v>5363</v>
      </c>
      <c r="K73" s="8">
        <v>2047.0404000000001</v>
      </c>
      <c r="L73" s="3">
        <f>SUM(FinancialAnalysis[[#This Row],[Marketing Expense]:[Other Expense]])</f>
        <v>21857.123600000003</v>
      </c>
      <c r="M73" s="3">
        <f>FinancialAnalysis[[#This Row],[Revenue]]-FinancialAnalysis[[#This Row],[Cost of Goods Sold]]</f>
        <v>25987.004400000002</v>
      </c>
      <c r="N73" s="11">
        <f>FinancialAnalysis[[#This Row],[Gross Profit]]-FinancialAnalysis[[#This Row],[Total Operating Expenses]]</f>
        <v>4129.880799999999</v>
      </c>
      <c r="O73" s="9">
        <f>FinancialAnalysis[[#This Row],[Gross Profit]]/FinancialAnalysis[[#This Row],[Revenue]]</f>
        <v>0.44940000000000002</v>
      </c>
      <c r="P73" s="9">
        <f>FinancialAnalysis[[#This Row],[Operating Profit]]/FinancialAnalysis[[#This Row],[Revenue]]</f>
        <v>7.1419098675336343E-2</v>
      </c>
      <c r="Q73" s="4">
        <f>FinancialAnalysis[[#This Row],[Revenue]]/FinancialAnalysis[[#This Row],[Units Sold]]</f>
        <v>29</v>
      </c>
      <c r="R73" s="4">
        <f>FinancialAnalysis[[#This Row],[Cost of Goods Sold]]/FinancialAnalysis[[#This Row],[Units Sold]]</f>
        <v>15.9674</v>
      </c>
      <c r="S73" s="9">
        <f>FinancialAnalysis[[#This Row],[Total Operating Expenses]]/FinancialAnalysis[[#This Row],[Revenue]]</f>
        <v>0.37798090132466367</v>
      </c>
      <c r="T73" s="3" t="str">
        <f>IF(FinancialAnalysis[[#This Row],[Operating Profit]]&gt;0,"Profitable","Not Profitable")</f>
        <v>Profitable</v>
      </c>
    </row>
    <row r="74" spans="1:20" x14ac:dyDescent="0.3">
      <c r="A74" t="s">
        <v>14</v>
      </c>
      <c r="B74" t="s">
        <v>28</v>
      </c>
      <c r="C74" t="s">
        <v>24</v>
      </c>
      <c r="D74" s="1">
        <v>1632</v>
      </c>
      <c r="E74" s="3">
        <v>55</v>
      </c>
      <c r="F74" s="2">
        <v>89760</v>
      </c>
      <c r="G74" s="3">
        <v>58137.552000000003</v>
      </c>
      <c r="H74" s="3">
        <v>2513.2800000000002</v>
      </c>
      <c r="I74" s="3">
        <v>12511</v>
      </c>
      <c r="J74" s="3">
        <v>4903</v>
      </c>
      <c r="K74" s="8">
        <v>4604.6880000000001</v>
      </c>
      <c r="L74" s="3">
        <f>SUM(FinancialAnalysis[[#This Row],[Marketing Expense]:[Other Expense]])</f>
        <v>24531.968000000001</v>
      </c>
      <c r="M74" s="3">
        <f>FinancialAnalysis[[#This Row],[Revenue]]-FinancialAnalysis[[#This Row],[Cost of Goods Sold]]</f>
        <v>31622.447999999997</v>
      </c>
      <c r="N74" s="11">
        <f>FinancialAnalysis[[#This Row],[Gross Profit]]-FinancialAnalysis[[#This Row],[Total Operating Expenses]]</f>
        <v>7090.4799999999959</v>
      </c>
      <c r="O74" s="9">
        <f>FinancialAnalysis[[#This Row],[Gross Profit]]/FinancialAnalysis[[#This Row],[Revenue]]</f>
        <v>0.35229999999999995</v>
      </c>
      <c r="P74" s="9">
        <f>FinancialAnalysis[[#This Row],[Operating Profit]]/FinancialAnalysis[[#This Row],[Revenue]]</f>
        <v>7.8993761140819921E-2</v>
      </c>
      <c r="Q74" s="4">
        <f>FinancialAnalysis[[#This Row],[Revenue]]/FinancialAnalysis[[#This Row],[Units Sold]]</f>
        <v>55</v>
      </c>
      <c r="R74" s="4">
        <f>FinancialAnalysis[[#This Row],[Cost of Goods Sold]]/FinancialAnalysis[[#This Row],[Units Sold]]</f>
        <v>35.6235</v>
      </c>
      <c r="S74" s="9">
        <f>FinancialAnalysis[[#This Row],[Total Operating Expenses]]/FinancialAnalysis[[#This Row],[Revenue]]</f>
        <v>0.27330623885918004</v>
      </c>
      <c r="T74" s="3" t="str">
        <f>IF(FinancialAnalysis[[#This Row],[Operating Profit]]&gt;0,"Profitable","Not Profitable")</f>
        <v>Profitable</v>
      </c>
    </row>
    <row r="75" spans="1:20" x14ac:dyDescent="0.3">
      <c r="A75" t="s">
        <v>14</v>
      </c>
      <c r="B75" t="s">
        <v>28</v>
      </c>
      <c r="C75" t="s">
        <v>25</v>
      </c>
      <c r="D75" s="1">
        <v>3045</v>
      </c>
      <c r="E75" s="3">
        <v>458</v>
      </c>
      <c r="F75" s="2">
        <v>1394610</v>
      </c>
      <c r="G75" s="3">
        <v>919047.99</v>
      </c>
      <c r="H75" s="3">
        <v>59689.307999999997</v>
      </c>
      <c r="I75" s="3">
        <v>7188</v>
      </c>
      <c r="J75" s="3">
        <v>6695</v>
      </c>
      <c r="K75" s="8">
        <v>52018.953000000001</v>
      </c>
      <c r="L75" s="3">
        <f>SUM(FinancialAnalysis[[#This Row],[Marketing Expense]:[Other Expense]])</f>
        <v>125591.261</v>
      </c>
      <c r="M75" s="3">
        <f>FinancialAnalysis[[#This Row],[Revenue]]-FinancialAnalysis[[#This Row],[Cost of Goods Sold]]</f>
        <v>475562.01</v>
      </c>
      <c r="N75" s="11">
        <f>FinancialAnalysis[[#This Row],[Gross Profit]]-FinancialAnalysis[[#This Row],[Total Operating Expenses]]</f>
        <v>349970.74900000001</v>
      </c>
      <c r="O75" s="9">
        <f>FinancialAnalysis[[#This Row],[Gross Profit]]/FinancialAnalysis[[#This Row],[Revenue]]</f>
        <v>0.34100000000000003</v>
      </c>
      <c r="P75" s="9">
        <f>FinancialAnalysis[[#This Row],[Operating Profit]]/FinancialAnalysis[[#This Row],[Revenue]]</f>
        <v>0.25094524562422471</v>
      </c>
      <c r="Q75" s="4">
        <f>FinancialAnalysis[[#This Row],[Revenue]]/FinancialAnalysis[[#This Row],[Units Sold]]</f>
        <v>458</v>
      </c>
      <c r="R75" s="4">
        <f>FinancialAnalysis[[#This Row],[Cost of Goods Sold]]/FinancialAnalysis[[#This Row],[Units Sold]]</f>
        <v>301.822</v>
      </c>
      <c r="S75" s="9">
        <f>FinancialAnalysis[[#This Row],[Total Operating Expenses]]/FinancialAnalysis[[#This Row],[Revenue]]</f>
        <v>9.0054754375775301E-2</v>
      </c>
      <c r="T75" s="3" t="str">
        <f>IF(FinancialAnalysis[[#This Row],[Operating Profit]]&gt;0,"Profitable","Not Profitable")</f>
        <v>Profitable</v>
      </c>
    </row>
    <row r="76" spans="1:20" x14ac:dyDescent="0.3">
      <c r="A76" t="s">
        <v>14</v>
      </c>
      <c r="B76" t="s">
        <v>28</v>
      </c>
      <c r="C76" t="s">
        <v>26</v>
      </c>
      <c r="D76" s="1">
        <v>2190</v>
      </c>
      <c r="E76" s="3">
        <v>48</v>
      </c>
      <c r="F76" s="2">
        <v>105120</v>
      </c>
      <c r="G76" s="3">
        <v>60391.44</v>
      </c>
      <c r="H76" s="3">
        <v>4888.08</v>
      </c>
      <c r="I76" s="3">
        <v>12913</v>
      </c>
      <c r="J76" s="3">
        <v>6750</v>
      </c>
      <c r="K76" s="8">
        <v>4110.192</v>
      </c>
      <c r="L76" s="3">
        <f>SUM(FinancialAnalysis[[#This Row],[Marketing Expense]:[Other Expense]])</f>
        <v>28661.272000000001</v>
      </c>
      <c r="M76" s="3">
        <f>FinancialAnalysis[[#This Row],[Revenue]]-FinancialAnalysis[[#This Row],[Cost of Goods Sold]]</f>
        <v>44728.56</v>
      </c>
      <c r="N76" s="11">
        <f>FinancialAnalysis[[#This Row],[Gross Profit]]-FinancialAnalysis[[#This Row],[Total Operating Expenses]]</f>
        <v>16067.287999999997</v>
      </c>
      <c r="O76" s="9">
        <f>FinancialAnalysis[[#This Row],[Gross Profit]]/FinancialAnalysis[[#This Row],[Revenue]]</f>
        <v>0.42549999999999999</v>
      </c>
      <c r="P76" s="9">
        <f>FinancialAnalysis[[#This Row],[Operating Profit]]/FinancialAnalysis[[#This Row],[Revenue]]</f>
        <v>0.15284710806697105</v>
      </c>
      <c r="Q76" s="4">
        <f>FinancialAnalysis[[#This Row],[Revenue]]/FinancialAnalysis[[#This Row],[Units Sold]]</f>
        <v>48</v>
      </c>
      <c r="R76" s="4">
        <f>FinancialAnalysis[[#This Row],[Cost of Goods Sold]]/FinancialAnalysis[[#This Row],[Units Sold]]</f>
        <v>27.576000000000001</v>
      </c>
      <c r="S76" s="9">
        <f>FinancialAnalysis[[#This Row],[Total Operating Expenses]]/FinancialAnalysis[[#This Row],[Revenue]]</f>
        <v>0.27265289193302894</v>
      </c>
      <c r="T76" s="3" t="str">
        <f>IF(FinancialAnalysis[[#This Row],[Operating Profit]]&gt;0,"Profitable","Not Profitable")</f>
        <v>Profitable</v>
      </c>
    </row>
    <row r="77" spans="1:20" x14ac:dyDescent="0.3">
      <c r="A77" t="s">
        <v>15</v>
      </c>
      <c r="B77" t="s">
        <v>22</v>
      </c>
      <c r="C77" t="s">
        <v>23</v>
      </c>
      <c r="D77" s="1">
        <v>1333</v>
      </c>
      <c r="E77" s="3">
        <v>92</v>
      </c>
      <c r="F77" s="2">
        <v>122636</v>
      </c>
      <c r="G77" s="3">
        <v>77751.224000000002</v>
      </c>
      <c r="H77" s="3">
        <v>13772.022799999999</v>
      </c>
      <c r="I77" s="3">
        <v>11665</v>
      </c>
      <c r="J77" s="3">
        <v>3205</v>
      </c>
      <c r="K77" s="8">
        <v>6683.6620000000003</v>
      </c>
      <c r="L77" s="3">
        <f>SUM(FinancialAnalysis[[#This Row],[Marketing Expense]:[Other Expense]])</f>
        <v>35325.684800000003</v>
      </c>
      <c r="M77" s="3">
        <f>FinancialAnalysis[[#This Row],[Revenue]]-FinancialAnalysis[[#This Row],[Cost of Goods Sold]]</f>
        <v>44884.775999999998</v>
      </c>
      <c r="N77" s="11">
        <f>FinancialAnalysis[[#This Row],[Gross Profit]]-FinancialAnalysis[[#This Row],[Total Operating Expenses]]</f>
        <v>9559.0911999999953</v>
      </c>
      <c r="O77" s="9">
        <f>FinancialAnalysis[[#This Row],[Gross Profit]]/FinancialAnalysis[[#This Row],[Revenue]]</f>
        <v>0.36599999999999999</v>
      </c>
      <c r="P77" s="9">
        <f>FinancialAnalysis[[#This Row],[Operating Profit]]/FinancialAnalysis[[#This Row],[Revenue]]</f>
        <v>7.7946860628200484E-2</v>
      </c>
      <c r="Q77" s="4">
        <f>FinancialAnalysis[[#This Row],[Revenue]]/FinancialAnalysis[[#This Row],[Units Sold]]</f>
        <v>92</v>
      </c>
      <c r="R77" s="4">
        <f>FinancialAnalysis[[#This Row],[Cost of Goods Sold]]/FinancialAnalysis[[#This Row],[Units Sold]]</f>
        <v>58.328000000000003</v>
      </c>
      <c r="S77" s="9">
        <f>FinancialAnalysis[[#This Row],[Total Operating Expenses]]/FinancialAnalysis[[#This Row],[Revenue]]</f>
        <v>0.28805313937179949</v>
      </c>
      <c r="T77" s="3" t="str">
        <f>IF(FinancialAnalysis[[#This Row],[Operating Profit]]&gt;0,"Profitable","Not Profitable")</f>
        <v>Profitable</v>
      </c>
    </row>
    <row r="78" spans="1:20" x14ac:dyDescent="0.3">
      <c r="A78" t="s">
        <v>15</v>
      </c>
      <c r="B78" t="s">
        <v>22</v>
      </c>
      <c r="C78" t="s">
        <v>29</v>
      </c>
      <c r="D78" s="1">
        <v>1266</v>
      </c>
      <c r="E78" s="3">
        <v>40</v>
      </c>
      <c r="F78" s="2">
        <v>50640</v>
      </c>
      <c r="G78" s="3">
        <v>28201.415999999997</v>
      </c>
      <c r="H78" s="3">
        <v>4344.9120000000003</v>
      </c>
      <c r="I78" s="3">
        <v>10865</v>
      </c>
      <c r="J78" s="3">
        <v>1727</v>
      </c>
      <c r="K78" s="8">
        <v>1245.7439999999999</v>
      </c>
      <c r="L78" s="3">
        <f>SUM(FinancialAnalysis[[#This Row],[Marketing Expense]:[Other Expense]])</f>
        <v>18182.655999999999</v>
      </c>
      <c r="M78" s="3">
        <f>FinancialAnalysis[[#This Row],[Revenue]]-FinancialAnalysis[[#This Row],[Cost of Goods Sold]]</f>
        <v>22438.584000000003</v>
      </c>
      <c r="N78" s="11">
        <f>FinancialAnalysis[[#This Row],[Gross Profit]]-FinancialAnalysis[[#This Row],[Total Operating Expenses]]</f>
        <v>4255.9280000000035</v>
      </c>
      <c r="O78" s="9">
        <f>FinancialAnalysis[[#This Row],[Gross Profit]]/FinancialAnalysis[[#This Row],[Revenue]]</f>
        <v>0.44310000000000005</v>
      </c>
      <c r="P78" s="9">
        <f>FinancialAnalysis[[#This Row],[Operating Profit]]/FinancialAnalysis[[#This Row],[Revenue]]</f>
        <v>8.404281200631919E-2</v>
      </c>
      <c r="Q78" s="4">
        <f>FinancialAnalysis[[#This Row],[Revenue]]/FinancialAnalysis[[#This Row],[Units Sold]]</f>
        <v>40</v>
      </c>
      <c r="R78" s="4">
        <f>FinancialAnalysis[[#This Row],[Cost of Goods Sold]]/FinancialAnalysis[[#This Row],[Units Sold]]</f>
        <v>22.275999999999996</v>
      </c>
      <c r="S78" s="9">
        <f>FinancialAnalysis[[#This Row],[Total Operating Expenses]]/FinancialAnalysis[[#This Row],[Revenue]]</f>
        <v>0.35905718799368086</v>
      </c>
      <c r="T78" s="3" t="str">
        <f>IF(FinancialAnalysis[[#This Row],[Operating Profit]]&gt;0,"Profitable","Not Profitable")</f>
        <v>Profitable</v>
      </c>
    </row>
    <row r="79" spans="1:20" x14ac:dyDescent="0.3">
      <c r="A79" t="s">
        <v>15</v>
      </c>
      <c r="B79" t="s">
        <v>22</v>
      </c>
      <c r="C79" t="s">
        <v>24</v>
      </c>
      <c r="D79" s="1">
        <v>1337</v>
      </c>
      <c r="E79" s="3">
        <v>31</v>
      </c>
      <c r="F79" s="2">
        <v>41447</v>
      </c>
      <c r="G79" s="3">
        <v>23297.358700000001</v>
      </c>
      <c r="H79" s="3">
        <v>4625.4852000000001</v>
      </c>
      <c r="I79" s="3">
        <v>5456</v>
      </c>
      <c r="J79" s="3">
        <v>2368</v>
      </c>
      <c r="K79" s="8">
        <v>2478.5306</v>
      </c>
      <c r="L79" s="3">
        <f>SUM(FinancialAnalysis[[#This Row],[Marketing Expense]:[Other Expense]])</f>
        <v>14928.015799999999</v>
      </c>
      <c r="M79" s="3">
        <f>FinancialAnalysis[[#This Row],[Revenue]]-FinancialAnalysis[[#This Row],[Cost of Goods Sold]]</f>
        <v>18149.641299999999</v>
      </c>
      <c r="N79" s="11">
        <f>FinancialAnalysis[[#This Row],[Gross Profit]]-FinancialAnalysis[[#This Row],[Total Operating Expenses]]</f>
        <v>3221.6255000000001</v>
      </c>
      <c r="O79" s="9">
        <f>FinancialAnalysis[[#This Row],[Gross Profit]]/FinancialAnalysis[[#This Row],[Revenue]]</f>
        <v>0.43789999999999996</v>
      </c>
      <c r="P79" s="9">
        <f>FinancialAnalysis[[#This Row],[Operating Profit]]/FinancialAnalysis[[#This Row],[Revenue]]</f>
        <v>7.7728798224238185E-2</v>
      </c>
      <c r="Q79" s="4">
        <f>FinancialAnalysis[[#This Row],[Revenue]]/FinancialAnalysis[[#This Row],[Units Sold]]</f>
        <v>31</v>
      </c>
      <c r="R79" s="4">
        <f>FinancialAnalysis[[#This Row],[Cost of Goods Sold]]/FinancialAnalysis[[#This Row],[Units Sold]]</f>
        <v>17.4251</v>
      </c>
      <c r="S79" s="9">
        <f>FinancialAnalysis[[#This Row],[Total Operating Expenses]]/FinancialAnalysis[[#This Row],[Revenue]]</f>
        <v>0.36017120177576178</v>
      </c>
      <c r="T79" s="3" t="str">
        <f>IF(FinancialAnalysis[[#This Row],[Operating Profit]]&gt;0,"Profitable","Not Profitable")</f>
        <v>Profitable</v>
      </c>
    </row>
    <row r="80" spans="1:20" x14ac:dyDescent="0.3">
      <c r="A80" t="s">
        <v>15</v>
      </c>
      <c r="B80" t="s">
        <v>22</v>
      </c>
      <c r="C80" t="s">
        <v>25</v>
      </c>
      <c r="D80" s="1">
        <v>1668</v>
      </c>
      <c r="E80" s="3">
        <v>197</v>
      </c>
      <c r="F80" s="2">
        <v>328596</v>
      </c>
      <c r="G80" s="3">
        <v>236917.71599999999</v>
      </c>
      <c r="H80" s="3">
        <v>38281.434000000001</v>
      </c>
      <c r="I80" s="3">
        <v>10763</v>
      </c>
      <c r="J80" s="3">
        <v>3580</v>
      </c>
      <c r="K80" s="8">
        <v>12946.6824</v>
      </c>
      <c r="L80" s="3">
        <f>SUM(FinancialAnalysis[[#This Row],[Marketing Expense]:[Other Expense]])</f>
        <v>65571.116399999999</v>
      </c>
      <c r="M80" s="3">
        <f>FinancialAnalysis[[#This Row],[Revenue]]-FinancialAnalysis[[#This Row],[Cost of Goods Sold]]</f>
        <v>91678.284000000014</v>
      </c>
      <c r="N80" s="11">
        <f>FinancialAnalysis[[#This Row],[Gross Profit]]-FinancialAnalysis[[#This Row],[Total Operating Expenses]]</f>
        <v>26107.167600000015</v>
      </c>
      <c r="O80" s="9">
        <f>FinancialAnalysis[[#This Row],[Gross Profit]]/FinancialAnalysis[[#This Row],[Revenue]]</f>
        <v>0.27900000000000003</v>
      </c>
      <c r="P80" s="9">
        <f>FinancialAnalysis[[#This Row],[Operating Profit]]/FinancialAnalysis[[#This Row],[Revenue]]</f>
        <v>7.945065551619622E-2</v>
      </c>
      <c r="Q80" s="4">
        <f>FinancialAnalysis[[#This Row],[Revenue]]/FinancialAnalysis[[#This Row],[Units Sold]]</f>
        <v>197</v>
      </c>
      <c r="R80" s="4">
        <f>FinancialAnalysis[[#This Row],[Cost of Goods Sold]]/FinancialAnalysis[[#This Row],[Units Sold]]</f>
        <v>142.03699999999998</v>
      </c>
      <c r="S80" s="9">
        <f>FinancialAnalysis[[#This Row],[Total Operating Expenses]]/FinancialAnalysis[[#This Row],[Revenue]]</f>
        <v>0.19954934448380382</v>
      </c>
      <c r="T80" s="3" t="str">
        <f>IF(FinancialAnalysis[[#This Row],[Operating Profit]]&gt;0,"Profitable","Not Profitable")</f>
        <v>Profitable</v>
      </c>
    </row>
    <row r="81" spans="1:20" x14ac:dyDescent="0.3">
      <c r="A81" t="s">
        <v>15</v>
      </c>
      <c r="B81" t="s">
        <v>22</v>
      </c>
      <c r="C81" t="s">
        <v>26</v>
      </c>
      <c r="D81" s="1">
        <v>1700</v>
      </c>
      <c r="E81" s="3">
        <v>42</v>
      </c>
      <c r="F81" s="2">
        <v>71400</v>
      </c>
      <c r="G81" s="3">
        <v>37849.14</v>
      </c>
      <c r="H81" s="3">
        <v>8253.84</v>
      </c>
      <c r="I81" s="3">
        <v>8618</v>
      </c>
      <c r="J81" s="3">
        <v>3015</v>
      </c>
      <c r="K81" s="8">
        <v>2149.14</v>
      </c>
      <c r="L81" s="3">
        <f>SUM(FinancialAnalysis[[#This Row],[Marketing Expense]:[Other Expense]])</f>
        <v>22035.98</v>
      </c>
      <c r="M81" s="3">
        <f>FinancialAnalysis[[#This Row],[Revenue]]-FinancialAnalysis[[#This Row],[Cost of Goods Sold]]</f>
        <v>33550.86</v>
      </c>
      <c r="N81" s="11">
        <f>FinancialAnalysis[[#This Row],[Gross Profit]]-FinancialAnalysis[[#This Row],[Total Operating Expenses]]</f>
        <v>11514.880000000001</v>
      </c>
      <c r="O81" s="9">
        <f>FinancialAnalysis[[#This Row],[Gross Profit]]/FinancialAnalysis[[#This Row],[Revenue]]</f>
        <v>0.46989999999999998</v>
      </c>
      <c r="P81" s="9">
        <f>FinancialAnalysis[[#This Row],[Operating Profit]]/FinancialAnalysis[[#This Row],[Revenue]]</f>
        <v>0.16127282913165267</v>
      </c>
      <c r="Q81" s="4">
        <f>FinancialAnalysis[[#This Row],[Revenue]]/FinancialAnalysis[[#This Row],[Units Sold]]</f>
        <v>42</v>
      </c>
      <c r="R81" s="4">
        <f>FinancialAnalysis[[#This Row],[Cost of Goods Sold]]/FinancialAnalysis[[#This Row],[Units Sold]]</f>
        <v>22.264199999999999</v>
      </c>
      <c r="S81" s="9">
        <f>FinancialAnalysis[[#This Row],[Total Operating Expenses]]/FinancialAnalysis[[#This Row],[Revenue]]</f>
        <v>0.30862717086834734</v>
      </c>
      <c r="T81" s="3" t="str">
        <f>IF(FinancialAnalysis[[#This Row],[Operating Profit]]&gt;0,"Profitable","Not Profitable")</f>
        <v>Profitable</v>
      </c>
    </row>
    <row r="82" spans="1:20" x14ac:dyDescent="0.3">
      <c r="A82" t="s">
        <v>15</v>
      </c>
      <c r="B82" t="s">
        <v>27</v>
      </c>
      <c r="C82" t="s">
        <v>23</v>
      </c>
      <c r="D82" s="1">
        <v>1221</v>
      </c>
      <c r="E82" s="3">
        <v>108</v>
      </c>
      <c r="F82" s="2">
        <v>131868</v>
      </c>
      <c r="G82" s="3">
        <v>92202.10560000001</v>
      </c>
      <c r="H82" s="3">
        <v>7819.7723999999998</v>
      </c>
      <c r="I82" s="3">
        <v>9325</v>
      </c>
      <c r="J82" s="3">
        <v>9311</v>
      </c>
      <c r="K82" s="8">
        <v>6751.6415999999999</v>
      </c>
      <c r="L82" s="3">
        <f>SUM(FinancialAnalysis[[#This Row],[Marketing Expense]:[Other Expense]])</f>
        <v>33207.414000000004</v>
      </c>
      <c r="M82" s="3">
        <f>FinancialAnalysis[[#This Row],[Revenue]]-FinancialAnalysis[[#This Row],[Cost of Goods Sold]]</f>
        <v>39665.89439999999</v>
      </c>
      <c r="N82" s="11">
        <f>FinancialAnalysis[[#This Row],[Gross Profit]]-FinancialAnalysis[[#This Row],[Total Operating Expenses]]</f>
        <v>6458.4803999999858</v>
      </c>
      <c r="O82" s="9">
        <f>FinancialAnalysis[[#This Row],[Gross Profit]]/FinancialAnalysis[[#This Row],[Revenue]]</f>
        <v>0.3007999999999999</v>
      </c>
      <c r="P82" s="9">
        <f>FinancialAnalysis[[#This Row],[Operating Profit]]/FinancialAnalysis[[#This Row],[Revenue]]</f>
        <v>4.8976858676858567E-2</v>
      </c>
      <c r="Q82" s="4">
        <f>FinancialAnalysis[[#This Row],[Revenue]]/FinancialAnalysis[[#This Row],[Units Sold]]</f>
        <v>108</v>
      </c>
      <c r="R82" s="4">
        <f>FinancialAnalysis[[#This Row],[Cost of Goods Sold]]/FinancialAnalysis[[#This Row],[Units Sold]]</f>
        <v>75.513600000000011</v>
      </c>
      <c r="S82" s="9">
        <f>FinancialAnalysis[[#This Row],[Total Operating Expenses]]/FinancialAnalysis[[#This Row],[Revenue]]</f>
        <v>0.25182314132314138</v>
      </c>
      <c r="T82" s="3" t="str">
        <f>IF(FinancialAnalysis[[#This Row],[Operating Profit]]&gt;0,"Profitable","Not Profitable")</f>
        <v>Profitable</v>
      </c>
    </row>
    <row r="83" spans="1:20" x14ac:dyDescent="0.3">
      <c r="A83" t="s">
        <v>15</v>
      </c>
      <c r="B83" t="s">
        <v>27</v>
      </c>
      <c r="C83" t="s">
        <v>29</v>
      </c>
      <c r="D83" s="1">
        <v>411</v>
      </c>
      <c r="E83" s="3">
        <v>75</v>
      </c>
      <c r="F83" s="2">
        <v>30825</v>
      </c>
      <c r="G83" s="3">
        <v>17249.669999999998</v>
      </c>
      <c r="H83" s="3">
        <v>1852.5825</v>
      </c>
      <c r="I83" s="3">
        <v>11400</v>
      </c>
      <c r="J83" s="3">
        <v>15146</v>
      </c>
      <c r="K83" s="8">
        <v>1473.4349999999999</v>
      </c>
      <c r="L83" s="3">
        <f>SUM(FinancialAnalysis[[#This Row],[Marketing Expense]:[Other Expense]])</f>
        <v>29872.017500000002</v>
      </c>
      <c r="M83" s="3">
        <f>FinancialAnalysis[[#This Row],[Revenue]]-FinancialAnalysis[[#This Row],[Cost of Goods Sold]]</f>
        <v>13575.330000000002</v>
      </c>
      <c r="N83" s="11">
        <f>FinancialAnalysis[[#This Row],[Gross Profit]]-FinancialAnalysis[[#This Row],[Total Operating Expenses]]</f>
        <v>-16296.6875</v>
      </c>
      <c r="O83" s="9">
        <f>FinancialAnalysis[[#This Row],[Gross Profit]]/FinancialAnalysis[[#This Row],[Revenue]]</f>
        <v>0.44040000000000007</v>
      </c>
      <c r="P83" s="9">
        <f>FinancialAnalysis[[#This Row],[Operating Profit]]/FinancialAnalysis[[#This Row],[Revenue]]</f>
        <v>-0.52868410381184106</v>
      </c>
      <c r="Q83" s="4">
        <f>FinancialAnalysis[[#This Row],[Revenue]]/FinancialAnalysis[[#This Row],[Units Sold]]</f>
        <v>75</v>
      </c>
      <c r="R83" s="4">
        <f>FinancialAnalysis[[#This Row],[Cost of Goods Sold]]/FinancialAnalysis[[#This Row],[Units Sold]]</f>
        <v>41.97</v>
      </c>
      <c r="S83" s="9">
        <f>FinancialAnalysis[[#This Row],[Total Operating Expenses]]/FinancialAnalysis[[#This Row],[Revenue]]</f>
        <v>0.96908410381184107</v>
      </c>
      <c r="T83" s="3" t="str">
        <f>IF(FinancialAnalysis[[#This Row],[Operating Profit]]&gt;0,"Profitable","Not Profitable")</f>
        <v>Not Profitable</v>
      </c>
    </row>
    <row r="84" spans="1:20" x14ac:dyDescent="0.3">
      <c r="A84" t="s">
        <v>15</v>
      </c>
      <c r="B84" t="s">
        <v>27</v>
      </c>
      <c r="C84" t="s">
        <v>24</v>
      </c>
      <c r="D84" s="1">
        <v>1046</v>
      </c>
      <c r="E84" s="3">
        <v>30</v>
      </c>
      <c r="F84" s="2">
        <v>31380</v>
      </c>
      <c r="G84" s="3">
        <v>19138.662</v>
      </c>
      <c r="H84" s="3">
        <v>1584.69</v>
      </c>
      <c r="I84" s="3">
        <v>17067</v>
      </c>
      <c r="J84" s="3">
        <v>9234</v>
      </c>
      <c r="K84" s="8">
        <v>1032.402</v>
      </c>
      <c r="L84" s="3">
        <f>SUM(FinancialAnalysis[[#This Row],[Marketing Expense]:[Other Expense]])</f>
        <v>28918.091999999997</v>
      </c>
      <c r="M84" s="3">
        <f>FinancialAnalysis[[#This Row],[Revenue]]-FinancialAnalysis[[#This Row],[Cost of Goods Sold]]</f>
        <v>12241.338</v>
      </c>
      <c r="N84" s="11">
        <f>FinancialAnalysis[[#This Row],[Gross Profit]]-FinancialAnalysis[[#This Row],[Total Operating Expenses]]</f>
        <v>-16676.753999999997</v>
      </c>
      <c r="O84" s="9">
        <f>FinancialAnalysis[[#This Row],[Gross Profit]]/FinancialAnalysis[[#This Row],[Revenue]]</f>
        <v>0.3901</v>
      </c>
      <c r="P84" s="9">
        <f>FinancialAnalysis[[#This Row],[Operating Profit]]/FinancialAnalysis[[#This Row],[Revenue]]</f>
        <v>-0.53144531548757157</v>
      </c>
      <c r="Q84" s="4">
        <f>FinancialAnalysis[[#This Row],[Revenue]]/FinancialAnalysis[[#This Row],[Units Sold]]</f>
        <v>30</v>
      </c>
      <c r="R84" s="4">
        <f>FinancialAnalysis[[#This Row],[Cost of Goods Sold]]/FinancialAnalysis[[#This Row],[Units Sold]]</f>
        <v>18.297000000000001</v>
      </c>
      <c r="S84" s="9">
        <f>FinancialAnalysis[[#This Row],[Total Operating Expenses]]/FinancialAnalysis[[#This Row],[Revenue]]</f>
        <v>0.92154531548757157</v>
      </c>
      <c r="T84" s="3" t="str">
        <f>IF(FinancialAnalysis[[#This Row],[Operating Profit]]&gt;0,"Profitable","Not Profitable")</f>
        <v>Not Profitable</v>
      </c>
    </row>
    <row r="85" spans="1:20" x14ac:dyDescent="0.3">
      <c r="A85" t="s">
        <v>15</v>
      </c>
      <c r="B85" t="s">
        <v>27</v>
      </c>
      <c r="C85" t="s">
        <v>25</v>
      </c>
      <c r="D85" s="1">
        <v>870</v>
      </c>
      <c r="E85" s="3">
        <v>174</v>
      </c>
      <c r="F85" s="2">
        <v>151380</v>
      </c>
      <c r="G85" s="3">
        <v>94385.430000000008</v>
      </c>
      <c r="H85" s="3">
        <v>7569</v>
      </c>
      <c r="I85" s="3">
        <v>19868</v>
      </c>
      <c r="J85" s="3">
        <v>14799</v>
      </c>
      <c r="K85" s="8">
        <v>7886.8980000000001</v>
      </c>
      <c r="L85" s="3">
        <f>SUM(FinancialAnalysis[[#This Row],[Marketing Expense]:[Other Expense]])</f>
        <v>50122.898000000001</v>
      </c>
      <c r="M85" s="3">
        <f>FinancialAnalysis[[#This Row],[Revenue]]-FinancialAnalysis[[#This Row],[Cost of Goods Sold]]</f>
        <v>56994.569999999992</v>
      </c>
      <c r="N85" s="11">
        <f>FinancialAnalysis[[#This Row],[Gross Profit]]-FinancialAnalysis[[#This Row],[Total Operating Expenses]]</f>
        <v>6871.6719999999914</v>
      </c>
      <c r="O85" s="9">
        <f>FinancialAnalysis[[#This Row],[Gross Profit]]/FinancialAnalysis[[#This Row],[Revenue]]</f>
        <v>0.37649999999999995</v>
      </c>
      <c r="P85" s="9">
        <f>FinancialAnalysis[[#This Row],[Operating Profit]]/FinancialAnalysis[[#This Row],[Revenue]]</f>
        <v>4.5393526225392992E-2</v>
      </c>
      <c r="Q85" s="4">
        <f>FinancialAnalysis[[#This Row],[Revenue]]/FinancialAnalysis[[#This Row],[Units Sold]]</f>
        <v>174</v>
      </c>
      <c r="R85" s="4">
        <f>FinancialAnalysis[[#This Row],[Cost of Goods Sold]]/FinancialAnalysis[[#This Row],[Units Sold]]</f>
        <v>108.489</v>
      </c>
      <c r="S85" s="9">
        <f>FinancialAnalysis[[#This Row],[Total Operating Expenses]]/FinancialAnalysis[[#This Row],[Revenue]]</f>
        <v>0.33110647377460695</v>
      </c>
      <c r="T85" s="3" t="str">
        <f>IF(FinancialAnalysis[[#This Row],[Operating Profit]]&gt;0,"Profitable","Not Profitable")</f>
        <v>Profitable</v>
      </c>
    </row>
    <row r="86" spans="1:20" x14ac:dyDescent="0.3">
      <c r="A86" t="s">
        <v>15</v>
      </c>
      <c r="B86" t="s">
        <v>27</v>
      </c>
      <c r="C86" t="s">
        <v>26</v>
      </c>
      <c r="D86" s="1">
        <v>840</v>
      </c>
      <c r="E86" s="3">
        <v>59</v>
      </c>
      <c r="F86" s="2">
        <v>49560</v>
      </c>
      <c r="G86" s="3">
        <v>29061.984</v>
      </c>
      <c r="H86" s="3">
        <v>2408.616</v>
      </c>
      <c r="I86" s="3">
        <v>19405</v>
      </c>
      <c r="J86" s="3">
        <v>13425</v>
      </c>
      <c r="K86" s="8">
        <v>1516.5360000000001</v>
      </c>
      <c r="L86" s="3">
        <f>SUM(FinancialAnalysis[[#This Row],[Marketing Expense]:[Other Expense]])</f>
        <v>36755.152000000002</v>
      </c>
      <c r="M86" s="3">
        <f>FinancialAnalysis[[#This Row],[Revenue]]-FinancialAnalysis[[#This Row],[Cost of Goods Sold]]</f>
        <v>20498.016</v>
      </c>
      <c r="N86" s="11">
        <f>FinancialAnalysis[[#This Row],[Gross Profit]]-FinancialAnalysis[[#This Row],[Total Operating Expenses]]</f>
        <v>-16257.136000000002</v>
      </c>
      <c r="O86" s="9">
        <f>FinancialAnalysis[[#This Row],[Gross Profit]]/FinancialAnalysis[[#This Row],[Revenue]]</f>
        <v>0.41359999999999997</v>
      </c>
      <c r="P86" s="9">
        <f>FinancialAnalysis[[#This Row],[Operating Profit]]/FinancialAnalysis[[#This Row],[Revenue]]</f>
        <v>-0.3280293785310735</v>
      </c>
      <c r="Q86" s="4">
        <f>FinancialAnalysis[[#This Row],[Revenue]]/FinancialAnalysis[[#This Row],[Units Sold]]</f>
        <v>59</v>
      </c>
      <c r="R86" s="4">
        <f>FinancialAnalysis[[#This Row],[Cost of Goods Sold]]/FinancialAnalysis[[#This Row],[Units Sold]]</f>
        <v>34.5976</v>
      </c>
      <c r="S86" s="9">
        <f>FinancialAnalysis[[#This Row],[Total Operating Expenses]]/FinancialAnalysis[[#This Row],[Revenue]]</f>
        <v>0.74162937853107347</v>
      </c>
      <c r="T86" s="3" t="str">
        <f>IF(FinancialAnalysis[[#This Row],[Operating Profit]]&gt;0,"Profitable","Not Profitable")</f>
        <v>Not Profitable</v>
      </c>
    </row>
    <row r="87" spans="1:20" x14ac:dyDescent="0.3">
      <c r="A87" t="s">
        <v>15</v>
      </c>
      <c r="B87" t="s">
        <v>28</v>
      </c>
      <c r="C87" t="s">
        <v>23</v>
      </c>
      <c r="D87" s="1">
        <v>1811</v>
      </c>
      <c r="E87" s="3">
        <v>195</v>
      </c>
      <c r="F87" s="2">
        <v>353145</v>
      </c>
      <c r="G87" s="3">
        <v>228802.64550000001</v>
      </c>
      <c r="H87" s="3">
        <v>13666.711499999999</v>
      </c>
      <c r="I87" s="3">
        <v>8589</v>
      </c>
      <c r="J87" s="3">
        <v>3258</v>
      </c>
      <c r="K87" s="8">
        <v>13278.252</v>
      </c>
      <c r="L87" s="3">
        <f>SUM(FinancialAnalysis[[#This Row],[Marketing Expense]:[Other Expense]])</f>
        <v>38791.963499999998</v>
      </c>
      <c r="M87" s="3">
        <f>FinancialAnalysis[[#This Row],[Revenue]]-FinancialAnalysis[[#This Row],[Cost of Goods Sold]]</f>
        <v>124342.35449999999</v>
      </c>
      <c r="N87" s="11">
        <f>FinancialAnalysis[[#This Row],[Gross Profit]]-FinancialAnalysis[[#This Row],[Total Operating Expenses]]</f>
        <v>85550.390999999989</v>
      </c>
      <c r="O87" s="9">
        <f>FinancialAnalysis[[#This Row],[Gross Profit]]/FinancialAnalysis[[#This Row],[Revenue]]</f>
        <v>0.35209999999999997</v>
      </c>
      <c r="P87" s="9">
        <f>FinancialAnalysis[[#This Row],[Operating Profit]]/FinancialAnalysis[[#This Row],[Revenue]]</f>
        <v>0.24225287346557359</v>
      </c>
      <c r="Q87" s="4">
        <f>FinancialAnalysis[[#This Row],[Revenue]]/FinancialAnalysis[[#This Row],[Units Sold]]</f>
        <v>195</v>
      </c>
      <c r="R87" s="4">
        <f>FinancialAnalysis[[#This Row],[Cost of Goods Sold]]/FinancialAnalysis[[#This Row],[Units Sold]]</f>
        <v>126.34050000000001</v>
      </c>
      <c r="S87" s="9">
        <f>FinancialAnalysis[[#This Row],[Total Operating Expenses]]/FinancialAnalysis[[#This Row],[Revenue]]</f>
        <v>0.10984712653442637</v>
      </c>
      <c r="T87" s="3" t="str">
        <f>IF(FinancialAnalysis[[#This Row],[Operating Profit]]&gt;0,"Profitable","Not Profitable")</f>
        <v>Profitable</v>
      </c>
    </row>
    <row r="88" spans="1:20" x14ac:dyDescent="0.3">
      <c r="A88" t="s">
        <v>15</v>
      </c>
      <c r="B88" t="s">
        <v>28</v>
      </c>
      <c r="C88" t="s">
        <v>29</v>
      </c>
      <c r="D88" s="1">
        <v>2426</v>
      </c>
      <c r="E88" s="3">
        <v>36</v>
      </c>
      <c r="F88" s="2">
        <v>87336</v>
      </c>
      <c r="G88" s="3">
        <v>48270.607199999999</v>
      </c>
      <c r="H88" s="3">
        <v>3021.8256000000001</v>
      </c>
      <c r="I88" s="3">
        <v>13551</v>
      </c>
      <c r="J88" s="3">
        <v>4851</v>
      </c>
      <c r="K88" s="8">
        <v>1746.72</v>
      </c>
      <c r="L88" s="3">
        <f>SUM(FinancialAnalysis[[#This Row],[Marketing Expense]:[Other Expense]])</f>
        <v>23170.545600000001</v>
      </c>
      <c r="M88" s="3">
        <f>FinancialAnalysis[[#This Row],[Revenue]]-FinancialAnalysis[[#This Row],[Cost of Goods Sold]]</f>
        <v>39065.392800000001</v>
      </c>
      <c r="N88" s="11">
        <f>FinancialAnalysis[[#This Row],[Gross Profit]]-FinancialAnalysis[[#This Row],[Total Operating Expenses]]</f>
        <v>15894.8472</v>
      </c>
      <c r="O88" s="9">
        <f>FinancialAnalysis[[#This Row],[Gross Profit]]/FinancialAnalysis[[#This Row],[Revenue]]</f>
        <v>0.44730000000000003</v>
      </c>
      <c r="P88" s="9">
        <f>FinancialAnalysis[[#This Row],[Operating Profit]]/FinancialAnalysis[[#This Row],[Revenue]]</f>
        <v>0.1819965100302281</v>
      </c>
      <c r="Q88" s="4">
        <f>FinancialAnalysis[[#This Row],[Revenue]]/FinancialAnalysis[[#This Row],[Units Sold]]</f>
        <v>36</v>
      </c>
      <c r="R88" s="4">
        <f>FinancialAnalysis[[#This Row],[Cost of Goods Sold]]/FinancialAnalysis[[#This Row],[Units Sold]]</f>
        <v>19.897199999999998</v>
      </c>
      <c r="S88" s="9">
        <f>FinancialAnalysis[[#This Row],[Total Operating Expenses]]/FinancialAnalysis[[#This Row],[Revenue]]</f>
        <v>0.26530348996977193</v>
      </c>
      <c r="T88" s="3" t="str">
        <f>IF(FinancialAnalysis[[#This Row],[Operating Profit]]&gt;0,"Profitable","Not Profitable")</f>
        <v>Profitable</v>
      </c>
    </row>
    <row r="89" spans="1:20" x14ac:dyDescent="0.3">
      <c r="A89" t="s">
        <v>15</v>
      </c>
      <c r="B89" t="s">
        <v>28</v>
      </c>
      <c r="C89" t="s">
        <v>24</v>
      </c>
      <c r="D89" s="1">
        <v>1364</v>
      </c>
      <c r="E89" s="3">
        <v>47</v>
      </c>
      <c r="F89" s="2">
        <v>64108</v>
      </c>
      <c r="G89" s="3">
        <v>37458.304400000001</v>
      </c>
      <c r="H89" s="3">
        <v>2993.8435999999997</v>
      </c>
      <c r="I89" s="3">
        <v>5676</v>
      </c>
      <c r="J89" s="3">
        <v>6463</v>
      </c>
      <c r="K89" s="8">
        <v>2807.9304000000002</v>
      </c>
      <c r="L89" s="3">
        <f>SUM(FinancialAnalysis[[#This Row],[Marketing Expense]:[Other Expense]])</f>
        <v>17940.774000000001</v>
      </c>
      <c r="M89" s="3">
        <f>FinancialAnalysis[[#This Row],[Revenue]]-FinancialAnalysis[[#This Row],[Cost of Goods Sold]]</f>
        <v>26649.695599999999</v>
      </c>
      <c r="N89" s="11">
        <f>FinancialAnalysis[[#This Row],[Gross Profit]]-FinancialAnalysis[[#This Row],[Total Operating Expenses]]</f>
        <v>8708.9215999999979</v>
      </c>
      <c r="O89" s="9">
        <f>FinancialAnalysis[[#This Row],[Gross Profit]]/FinancialAnalysis[[#This Row],[Revenue]]</f>
        <v>0.41569999999999996</v>
      </c>
      <c r="P89" s="9">
        <f>FinancialAnalysis[[#This Row],[Operating Profit]]/FinancialAnalysis[[#This Row],[Revenue]]</f>
        <v>0.13584765707867968</v>
      </c>
      <c r="Q89" s="4">
        <f>FinancialAnalysis[[#This Row],[Revenue]]/FinancialAnalysis[[#This Row],[Units Sold]]</f>
        <v>47</v>
      </c>
      <c r="R89" s="4">
        <f>FinancialAnalysis[[#This Row],[Cost of Goods Sold]]/FinancialAnalysis[[#This Row],[Units Sold]]</f>
        <v>27.4621</v>
      </c>
      <c r="S89" s="9">
        <f>FinancialAnalysis[[#This Row],[Total Operating Expenses]]/FinancialAnalysis[[#This Row],[Revenue]]</f>
        <v>0.27985234292132027</v>
      </c>
      <c r="T89" s="3" t="str">
        <f>IF(FinancialAnalysis[[#This Row],[Operating Profit]]&gt;0,"Profitable","Not Profitable")</f>
        <v>Profitable</v>
      </c>
    </row>
    <row r="90" spans="1:20" x14ac:dyDescent="0.3">
      <c r="A90" t="s">
        <v>15</v>
      </c>
      <c r="B90" t="s">
        <v>28</v>
      </c>
      <c r="C90" t="s">
        <v>25</v>
      </c>
      <c r="D90" s="1">
        <v>2892</v>
      </c>
      <c r="E90" s="3">
        <v>182</v>
      </c>
      <c r="F90" s="2">
        <v>526344</v>
      </c>
      <c r="G90" s="3">
        <v>334175.80560000002</v>
      </c>
      <c r="H90" s="3">
        <v>23001.232800000002</v>
      </c>
      <c r="I90" s="3">
        <v>13191</v>
      </c>
      <c r="J90" s="3">
        <v>4502</v>
      </c>
      <c r="K90" s="8">
        <v>29896.339199999999</v>
      </c>
      <c r="L90" s="3">
        <f>SUM(FinancialAnalysis[[#This Row],[Marketing Expense]:[Other Expense]])</f>
        <v>70590.572</v>
      </c>
      <c r="M90" s="3">
        <f>FinancialAnalysis[[#This Row],[Revenue]]-FinancialAnalysis[[#This Row],[Cost of Goods Sold]]</f>
        <v>192168.19439999998</v>
      </c>
      <c r="N90" s="11">
        <f>FinancialAnalysis[[#This Row],[Gross Profit]]-FinancialAnalysis[[#This Row],[Total Operating Expenses]]</f>
        <v>121577.62239999998</v>
      </c>
      <c r="O90" s="9">
        <f>FinancialAnalysis[[#This Row],[Gross Profit]]/FinancialAnalysis[[#This Row],[Revenue]]</f>
        <v>0.36509999999999998</v>
      </c>
      <c r="P90" s="9">
        <f>FinancialAnalysis[[#This Row],[Operating Profit]]/FinancialAnalysis[[#This Row],[Revenue]]</f>
        <v>0.2309851017585457</v>
      </c>
      <c r="Q90" s="4">
        <f>FinancialAnalysis[[#This Row],[Revenue]]/FinancialAnalysis[[#This Row],[Units Sold]]</f>
        <v>182</v>
      </c>
      <c r="R90" s="4">
        <f>FinancialAnalysis[[#This Row],[Cost of Goods Sold]]/FinancialAnalysis[[#This Row],[Units Sold]]</f>
        <v>115.55180000000001</v>
      </c>
      <c r="S90" s="9">
        <f>FinancialAnalysis[[#This Row],[Total Operating Expenses]]/FinancialAnalysis[[#This Row],[Revenue]]</f>
        <v>0.13411489824145426</v>
      </c>
      <c r="T90" s="3" t="str">
        <f>IF(FinancialAnalysis[[#This Row],[Operating Profit]]&gt;0,"Profitable","Not Profitable")</f>
        <v>Profitable</v>
      </c>
    </row>
    <row r="91" spans="1:20" x14ac:dyDescent="0.3">
      <c r="A91" t="s">
        <v>15</v>
      </c>
      <c r="B91" t="s">
        <v>28</v>
      </c>
      <c r="C91" t="s">
        <v>26</v>
      </c>
      <c r="D91" s="1">
        <v>3307</v>
      </c>
      <c r="E91" s="3">
        <v>84</v>
      </c>
      <c r="F91" s="2">
        <v>277788</v>
      </c>
      <c r="G91" s="3">
        <v>178839.91440000001</v>
      </c>
      <c r="H91" s="3">
        <v>11250.414000000001</v>
      </c>
      <c r="I91" s="3">
        <v>7925</v>
      </c>
      <c r="J91" s="3">
        <v>6362</v>
      </c>
      <c r="K91" s="8">
        <v>13306.0452</v>
      </c>
      <c r="L91" s="3">
        <f>SUM(FinancialAnalysis[[#This Row],[Marketing Expense]:[Other Expense]])</f>
        <v>38843.459199999998</v>
      </c>
      <c r="M91" s="3">
        <f>FinancialAnalysis[[#This Row],[Revenue]]-FinancialAnalysis[[#This Row],[Cost of Goods Sold]]</f>
        <v>98948.085599999991</v>
      </c>
      <c r="N91" s="11">
        <f>FinancialAnalysis[[#This Row],[Gross Profit]]-FinancialAnalysis[[#This Row],[Total Operating Expenses]]</f>
        <v>60104.626399999994</v>
      </c>
      <c r="O91" s="9">
        <f>FinancialAnalysis[[#This Row],[Gross Profit]]/FinancialAnalysis[[#This Row],[Revenue]]</f>
        <v>0.35619999999999996</v>
      </c>
      <c r="P91" s="9">
        <f>FinancialAnalysis[[#This Row],[Operating Profit]]/FinancialAnalysis[[#This Row],[Revenue]]</f>
        <v>0.21636869267210965</v>
      </c>
      <c r="Q91" s="4">
        <f>FinancialAnalysis[[#This Row],[Revenue]]/FinancialAnalysis[[#This Row],[Units Sold]]</f>
        <v>84</v>
      </c>
      <c r="R91" s="4">
        <f>FinancialAnalysis[[#This Row],[Cost of Goods Sold]]/FinancialAnalysis[[#This Row],[Units Sold]]</f>
        <v>54.0792</v>
      </c>
      <c r="S91" s="9">
        <f>FinancialAnalysis[[#This Row],[Total Operating Expenses]]/FinancialAnalysis[[#This Row],[Revenue]]</f>
        <v>0.13983130732789031</v>
      </c>
      <c r="T91" s="3" t="str">
        <f>IF(FinancialAnalysis[[#This Row],[Operating Profit]]&gt;0,"Profitable","Not Profitable")</f>
        <v>Profitable</v>
      </c>
    </row>
    <row r="92" spans="1:20" x14ac:dyDescent="0.3">
      <c r="A92" t="s">
        <v>16</v>
      </c>
      <c r="B92" t="s">
        <v>22</v>
      </c>
      <c r="C92" t="s">
        <v>23</v>
      </c>
      <c r="D92" s="1">
        <v>1490</v>
      </c>
      <c r="E92" s="3">
        <v>85</v>
      </c>
      <c r="F92" s="2">
        <v>126650</v>
      </c>
      <c r="G92" s="3">
        <v>89085.61</v>
      </c>
      <c r="H92" s="3">
        <v>13880.84</v>
      </c>
      <c r="I92" s="3">
        <v>6846</v>
      </c>
      <c r="J92" s="3">
        <v>2560</v>
      </c>
      <c r="K92" s="8">
        <v>2748.3049999999998</v>
      </c>
      <c r="L92" s="3">
        <f>SUM(FinancialAnalysis[[#This Row],[Marketing Expense]:[Other Expense]])</f>
        <v>26035.145</v>
      </c>
      <c r="M92" s="3">
        <f>FinancialAnalysis[[#This Row],[Revenue]]-FinancialAnalysis[[#This Row],[Cost of Goods Sold]]</f>
        <v>37564.39</v>
      </c>
      <c r="N92" s="11">
        <f>FinancialAnalysis[[#This Row],[Gross Profit]]-FinancialAnalysis[[#This Row],[Total Operating Expenses]]</f>
        <v>11529.244999999999</v>
      </c>
      <c r="O92" s="9">
        <f>FinancialAnalysis[[#This Row],[Gross Profit]]/FinancialAnalysis[[#This Row],[Revenue]]</f>
        <v>0.29659999999999997</v>
      </c>
      <c r="P92" s="9">
        <f>FinancialAnalysis[[#This Row],[Operating Profit]]/FinancialAnalysis[[#This Row],[Revenue]]</f>
        <v>9.1032333201737065E-2</v>
      </c>
      <c r="Q92" s="4">
        <f>FinancialAnalysis[[#This Row],[Revenue]]/FinancialAnalysis[[#This Row],[Units Sold]]</f>
        <v>85</v>
      </c>
      <c r="R92" s="4">
        <f>FinancialAnalysis[[#This Row],[Cost of Goods Sold]]/FinancialAnalysis[[#This Row],[Units Sold]]</f>
        <v>59.789000000000001</v>
      </c>
      <c r="S92" s="9">
        <f>FinancialAnalysis[[#This Row],[Total Operating Expenses]]/FinancialAnalysis[[#This Row],[Revenue]]</f>
        <v>0.20556766679826294</v>
      </c>
      <c r="T92" s="3" t="str">
        <f>IF(FinancialAnalysis[[#This Row],[Operating Profit]]&gt;0,"Profitable","Not Profitable")</f>
        <v>Profitable</v>
      </c>
    </row>
    <row r="93" spans="1:20" x14ac:dyDescent="0.3">
      <c r="A93" t="s">
        <v>16</v>
      </c>
      <c r="B93" t="s">
        <v>22</v>
      </c>
      <c r="C93" t="s">
        <v>29</v>
      </c>
      <c r="D93" s="1">
        <v>1100</v>
      </c>
      <c r="E93" s="3">
        <v>42</v>
      </c>
      <c r="F93" s="2">
        <v>46200</v>
      </c>
      <c r="G93" s="3">
        <v>25118.94</v>
      </c>
      <c r="H93" s="3">
        <v>3908.5199999999995</v>
      </c>
      <c r="I93" s="3">
        <v>11442</v>
      </c>
      <c r="J93" s="3">
        <v>1249</v>
      </c>
      <c r="K93" s="8">
        <v>2346.96</v>
      </c>
      <c r="L93" s="3">
        <f>SUM(FinancialAnalysis[[#This Row],[Marketing Expense]:[Other Expense]])</f>
        <v>18946.48</v>
      </c>
      <c r="M93" s="3">
        <f>FinancialAnalysis[[#This Row],[Revenue]]-FinancialAnalysis[[#This Row],[Cost of Goods Sold]]</f>
        <v>21081.06</v>
      </c>
      <c r="N93" s="11">
        <f>FinancialAnalysis[[#This Row],[Gross Profit]]-FinancialAnalysis[[#This Row],[Total Operating Expenses]]</f>
        <v>2134.5800000000017</v>
      </c>
      <c r="O93" s="9">
        <f>FinancialAnalysis[[#This Row],[Gross Profit]]/FinancialAnalysis[[#This Row],[Revenue]]</f>
        <v>0.45630000000000004</v>
      </c>
      <c r="P93" s="9">
        <f>FinancialAnalysis[[#This Row],[Operating Profit]]/FinancialAnalysis[[#This Row],[Revenue]]</f>
        <v>4.6203030303030343E-2</v>
      </c>
      <c r="Q93" s="4">
        <f>FinancialAnalysis[[#This Row],[Revenue]]/FinancialAnalysis[[#This Row],[Units Sold]]</f>
        <v>42</v>
      </c>
      <c r="R93" s="4">
        <f>FinancialAnalysis[[#This Row],[Cost of Goods Sold]]/FinancialAnalysis[[#This Row],[Units Sold]]</f>
        <v>22.8354</v>
      </c>
      <c r="S93" s="9">
        <f>FinancialAnalysis[[#This Row],[Total Operating Expenses]]/FinancialAnalysis[[#This Row],[Revenue]]</f>
        <v>0.41009696969696968</v>
      </c>
      <c r="T93" s="3" t="str">
        <f>IF(FinancialAnalysis[[#This Row],[Operating Profit]]&gt;0,"Profitable","Not Profitable")</f>
        <v>Profitable</v>
      </c>
    </row>
    <row r="94" spans="1:20" x14ac:dyDescent="0.3">
      <c r="A94" t="s">
        <v>16</v>
      </c>
      <c r="B94" t="s">
        <v>22</v>
      </c>
      <c r="C94" t="s">
        <v>24</v>
      </c>
      <c r="D94" s="1">
        <v>1960</v>
      </c>
      <c r="E94" s="3">
        <v>114</v>
      </c>
      <c r="F94" s="2">
        <v>223440</v>
      </c>
      <c r="G94" s="3">
        <v>136320.74400000001</v>
      </c>
      <c r="H94" s="3">
        <v>21204.455999999998</v>
      </c>
      <c r="I94" s="3">
        <v>7150</v>
      </c>
      <c r="J94" s="3">
        <v>3149</v>
      </c>
      <c r="K94" s="8">
        <v>6345.6959999999999</v>
      </c>
      <c r="L94" s="3">
        <f>SUM(FinancialAnalysis[[#This Row],[Marketing Expense]:[Other Expense]])</f>
        <v>37849.152000000002</v>
      </c>
      <c r="M94" s="3">
        <f>FinancialAnalysis[[#This Row],[Revenue]]-FinancialAnalysis[[#This Row],[Cost of Goods Sold]]</f>
        <v>87119.255999999994</v>
      </c>
      <c r="N94" s="11">
        <f>FinancialAnalysis[[#This Row],[Gross Profit]]-FinancialAnalysis[[#This Row],[Total Operating Expenses]]</f>
        <v>49270.103999999992</v>
      </c>
      <c r="O94" s="9">
        <f>FinancialAnalysis[[#This Row],[Gross Profit]]/FinancialAnalysis[[#This Row],[Revenue]]</f>
        <v>0.38989999999999997</v>
      </c>
      <c r="P94" s="9">
        <f>FinancialAnalysis[[#This Row],[Operating Profit]]/FinancialAnalysis[[#This Row],[Revenue]]</f>
        <v>0.22050708915145001</v>
      </c>
      <c r="Q94" s="4">
        <f>FinancialAnalysis[[#This Row],[Revenue]]/FinancialAnalysis[[#This Row],[Units Sold]]</f>
        <v>114</v>
      </c>
      <c r="R94" s="4">
        <f>FinancialAnalysis[[#This Row],[Cost of Goods Sold]]/FinancialAnalysis[[#This Row],[Units Sold]]</f>
        <v>69.551400000000001</v>
      </c>
      <c r="S94" s="9">
        <f>FinancialAnalysis[[#This Row],[Total Operating Expenses]]/FinancialAnalysis[[#This Row],[Revenue]]</f>
        <v>0.16939291084854996</v>
      </c>
      <c r="T94" s="3" t="str">
        <f>IF(FinancialAnalysis[[#This Row],[Operating Profit]]&gt;0,"Profitable","Not Profitable")</f>
        <v>Profitable</v>
      </c>
    </row>
    <row r="95" spans="1:20" x14ac:dyDescent="0.3">
      <c r="A95" t="s">
        <v>16</v>
      </c>
      <c r="B95" t="s">
        <v>22</v>
      </c>
      <c r="C95" t="s">
        <v>25</v>
      </c>
      <c r="D95" s="1">
        <v>2111</v>
      </c>
      <c r="E95" s="3">
        <v>301</v>
      </c>
      <c r="F95" s="2">
        <v>635411</v>
      </c>
      <c r="G95" s="3">
        <v>463087.5368</v>
      </c>
      <c r="H95" s="3">
        <v>58521.3531</v>
      </c>
      <c r="I95" s="3">
        <v>7883</v>
      </c>
      <c r="J95" s="3">
        <v>1658</v>
      </c>
      <c r="K95" s="8">
        <v>25035.1934</v>
      </c>
      <c r="L95" s="3">
        <f>SUM(FinancialAnalysis[[#This Row],[Marketing Expense]:[Other Expense]])</f>
        <v>93097.546500000011</v>
      </c>
      <c r="M95" s="3">
        <f>FinancialAnalysis[[#This Row],[Revenue]]-FinancialAnalysis[[#This Row],[Cost of Goods Sold]]</f>
        <v>172323.4632</v>
      </c>
      <c r="N95" s="11">
        <f>FinancialAnalysis[[#This Row],[Gross Profit]]-FinancialAnalysis[[#This Row],[Total Operating Expenses]]</f>
        <v>79225.916699999987</v>
      </c>
      <c r="O95" s="9">
        <f>FinancialAnalysis[[#This Row],[Gross Profit]]/FinancialAnalysis[[#This Row],[Revenue]]</f>
        <v>0.2712</v>
      </c>
      <c r="P95" s="9">
        <f>FinancialAnalysis[[#This Row],[Operating Profit]]/FinancialAnalysis[[#This Row],[Revenue]]</f>
        <v>0.12468452182917826</v>
      </c>
      <c r="Q95" s="4">
        <f>FinancialAnalysis[[#This Row],[Revenue]]/FinancialAnalysis[[#This Row],[Units Sold]]</f>
        <v>301</v>
      </c>
      <c r="R95" s="4">
        <f>FinancialAnalysis[[#This Row],[Cost of Goods Sold]]/FinancialAnalysis[[#This Row],[Units Sold]]</f>
        <v>219.36879999999999</v>
      </c>
      <c r="S95" s="9">
        <f>FinancialAnalysis[[#This Row],[Total Operating Expenses]]/FinancialAnalysis[[#This Row],[Revenue]]</f>
        <v>0.14651547817082175</v>
      </c>
      <c r="T95" s="3" t="str">
        <f>IF(FinancialAnalysis[[#This Row],[Operating Profit]]&gt;0,"Profitable","Not Profitable")</f>
        <v>Profitable</v>
      </c>
    </row>
    <row r="96" spans="1:20" x14ac:dyDescent="0.3">
      <c r="A96" t="s">
        <v>16</v>
      </c>
      <c r="B96" t="s">
        <v>22</v>
      </c>
      <c r="C96" t="s">
        <v>26</v>
      </c>
      <c r="D96" s="1">
        <v>601</v>
      </c>
      <c r="E96" s="3">
        <v>35</v>
      </c>
      <c r="F96" s="2">
        <v>21035</v>
      </c>
      <c r="G96" s="3">
        <v>14213.349499999998</v>
      </c>
      <c r="H96" s="3">
        <v>1533.4515000000001</v>
      </c>
      <c r="I96" s="3">
        <v>10644</v>
      </c>
      <c r="J96" s="3">
        <v>3747</v>
      </c>
      <c r="K96" s="8">
        <v>978.12750000000005</v>
      </c>
      <c r="L96" s="3">
        <f>SUM(FinancialAnalysis[[#This Row],[Marketing Expense]:[Other Expense]])</f>
        <v>16902.578999999998</v>
      </c>
      <c r="M96" s="3">
        <f>FinancialAnalysis[[#This Row],[Revenue]]-FinancialAnalysis[[#This Row],[Cost of Goods Sold]]</f>
        <v>6821.6505000000016</v>
      </c>
      <c r="N96" s="11">
        <f>FinancialAnalysis[[#This Row],[Gross Profit]]-FinancialAnalysis[[#This Row],[Total Operating Expenses]]</f>
        <v>-10080.928499999996</v>
      </c>
      <c r="O96" s="9">
        <f>FinancialAnalysis[[#This Row],[Gross Profit]]/FinancialAnalysis[[#This Row],[Revenue]]</f>
        <v>0.32430000000000009</v>
      </c>
      <c r="P96" s="9">
        <f>FinancialAnalysis[[#This Row],[Operating Profit]]/FinancialAnalysis[[#This Row],[Revenue]]</f>
        <v>-0.4792454718326597</v>
      </c>
      <c r="Q96" s="4">
        <f>FinancialAnalysis[[#This Row],[Revenue]]/FinancialAnalysis[[#This Row],[Units Sold]]</f>
        <v>35</v>
      </c>
      <c r="R96" s="4">
        <f>FinancialAnalysis[[#This Row],[Cost of Goods Sold]]/FinancialAnalysis[[#This Row],[Units Sold]]</f>
        <v>23.649499999999996</v>
      </c>
      <c r="S96" s="9">
        <f>FinancialAnalysis[[#This Row],[Total Operating Expenses]]/FinancialAnalysis[[#This Row],[Revenue]]</f>
        <v>0.80354547183265979</v>
      </c>
      <c r="T96" s="3" t="str">
        <f>IF(FinancialAnalysis[[#This Row],[Operating Profit]]&gt;0,"Profitable","Not Profitable")</f>
        <v>Not Profitable</v>
      </c>
    </row>
    <row r="97" spans="1:20" x14ac:dyDescent="0.3">
      <c r="A97" t="s">
        <v>16</v>
      </c>
      <c r="B97" t="s">
        <v>27</v>
      </c>
      <c r="C97" t="s">
        <v>23</v>
      </c>
      <c r="D97" s="1">
        <v>856</v>
      </c>
      <c r="E97" s="3">
        <v>205</v>
      </c>
      <c r="F97" s="2">
        <v>175480</v>
      </c>
      <c r="G97" s="3">
        <v>110306.728</v>
      </c>
      <c r="H97" s="3">
        <v>9124.9599999999991</v>
      </c>
      <c r="I97" s="3">
        <v>17382</v>
      </c>
      <c r="J97" s="3">
        <v>11247</v>
      </c>
      <c r="K97" s="8">
        <v>9861.9760000000006</v>
      </c>
      <c r="L97" s="3">
        <f>SUM(FinancialAnalysis[[#This Row],[Marketing Expense]:[Other Expense]])</f>
        <v>47615.936000000002</v>
      </c>
      <c r="M97" s="3">
        <f>FinancialAnalysis[[#This Row],[Revenue]]-FinancialAnalysis[[#This Row],[Cost of Goods Sold]]</f>
        <v>65173.271999999997</v>
      </c>
      <c r="N97" s="11">
        <f>FinancialAnalysis[[#This Row],[Gross Profit]]-FinancialAnalysis[[#This Row],[Total Operating Expenses]]</f>
        <v>17557.335999999996</v>
      </c>
      <c r="O97" s="9">
        <f>FinancialAnalysis[[#This Row],[Gross Profit]]/FinancialAnalysis[[#This Row],[Revenue]]</f>
        <v>0.37140000000000001</v>
      </c>
      <c r="P97" s="9">
        <f>FinancialAnalysis[[#This Row],[Operating Profit]]/FinancialAnalysis[[#This Row],[Revenue]]</f>
        <v>0.10005320264417596</v>
      </c>
      <c r="Q97" s="4">
        <f>FinancialAnalysis[[#This Row],[Revenue]]/FinancialAnalysis[[#This Row],[Units Sold]]</f>
        <v>205</v>
      </c>
      <c r="R97" s="4">
        <f>FinancialAnalysis[[#This Row],[Cost of Goods Sold]]/FinancialAnalysis[[#This Row],[Units Sold]]</f>
        <v>128.863</v>
      </c>
      <c r="S97" s="9">
        <f>FinancialAnalysis[[#This Row],[Total Operating Expenses]]/FinancialAnalysis[[#This Row],[Revenue]]</f>
        <v>0.27134679735582401</v>
      </c>
      <c r="T97" s="3" t="str">
        <f>IF(FinancialAnalysis[[#This Row],[Operating Profit]]&gt;0,"Profitable","Not Profitable")</f>
        <v>Profitable</v>
      </c>
    </row>
    <row r="98" spans="1:20" x14ac:dyDescent="0.3">
      <c r="A98" t="s">
        <v>16</v>
      </c>
      <c r="B98" t="s">
        <v>27</v>
      </c>
      <c r="C98" t="s">
        <v>29</v>
      </c>
      <c r="D98" s="1">
        <v>985</v>
      </c>
      <c r="E98" s="3">
        <v>30</v>
      </c>
      <c r="F98" s="2">
        <v>29550</v>
      </c>
      <c r="G98" s="3">
        <v>14231.279999999999</v>
      </c>
      <c r="H98" s="3">
        <v>1669.575</v>
      </c>
      <c r="I98" s="3">
        <v>13203</v>
      </c>
      <c r="J98" s="3">
        <v>8856</v>
      </c>
      <c r="K98" s="8">
        <v>1075.6199999999999</v>
      </c>
      <c r="L98" s="3">
        <f>SUM(FinancialAnalysis[[#This Row],[Marketing Expense]:[Other Expense]])</f>
        <v>24804.195</v>
      </c>
      <c r="M98" s="3">
        <f>FinancialAnalysis[[#This Row],[Revenue]]-FinancialAnalysis[[#This Row],[Cost of Goods Sold]]</f>
        <v>15318.720000000001</v>
      </c>
      <c r="N98" s="11">
        <f>FinancialAnalysis[[#This Row],[Gross Profit]]-FinancialAnalysis[[#This Row],[Total Operating Expenses]]</f>
        <v>-9485.4749999999985</v>
      </c>
      <c r="O98" s="9">
        <f>FinancialAnalysis[[#This Row],[Gross Profit]]/FinancialAnalysis[[#This Row],[Revenue]]</f>
        <v>0.51840000000000008</v>
      </c>
      <c r="P98" s="9">
        <f>FinancialAnalysis[[#This Row],[Operating Profit]]/FinancialAnalysis[[#This Row],[Revenue]]</f>
        <v>-0.32099746192893397</v>
      </c>
      <c r="Q98" s="4">
        <f>FinancialAnalysis[[#This Row],[Revenue]]/FinancialAnalysis[[#This Row],[Units Sold]]</f>
        <v>30</v>
      </c>
      <c r="R98" s="4">
        <f>FinancialAnalysis[[#This Row],[Cost of Goods Sold]]/FinancialAnalysis[[#This Row],[Units Sold]]</f>
        <v>14.447999999999999</v>
      </c>
      <c r="S98" s="9">
        <f>FinancialAnalysis[[#This Row],[Total Operating Expenses]]/FinancialAnalysis[[#This Row],[Revenue]]</f>
        <v>0.83939746192893405</v>
      </c>
      <c r="T98" s="3" t="str">
        <f>IF(FinancialAnalysis[[#This Row],[Operating Profit]]&gt;0,"Profitable","Not Profitable")</f>
        <v>Not Profitable</v>
      </c>
    </row>
    <row r="99" spans="1:20" x14ac:dyDescent="0.3">
      <c r="A99" t="s">
        <v>16</v>
      </c>
      <c r="B99" t="s">
        <v>27</v>
      </c>
      <c r="C99" t="s">
        <v>24</v>
      </c>
      <c r="D99" s="1">
        <v>991</v>
      </c>
      <c r="E99" s="3">
        <v>118</v>
      </c>
      <c r="F99" s="2">
        <v>116938</v>
      </c>
      <c r="G99" s="3">
        <v>74360.874200000006</v>
      </c>
      <c r="H99" s="3">
        <v>4888.0083999999997</v>
      </c>
      <c r="I99" s="3">
        <v>16768</v>
      </c>
      <c r="J99" s="3">
        <v>14128</v>
      </c>
      <c r="K99" s="8">
        <v>4069.4423999999999</v>
      </c>
      <c r="L99" s="3">
        <f>SUM(FinancialAnalysis[[#This Row],[Marketing Expense]:[Other Expense]])</f>
        <v>39853.450799999999</v>
      </c>
      <c r="M99" s="3">
        <f>FinancialAnalysis[[#This Row],[Revenue]]-FinancialAnalysis[[#This Row],[Cost of Goods Sold]]</f>
        <v>42577.125799999994</v>
      </c>
      <c r="N99" s="11">
        <f>FinancialAnalysis[[#This Row],[Gross Profit]]-FinancialAnalysis[[#This Row],[Total Operating Expenses]]</f>
        <v>2723.6749999999956</v>
      </c>
      <c r="O99" s="9">
        <f>FinancialAnalysis[[#This Row],[Gross Profit]]/FinancialAnalysis[[#This Row],[Revenue]]</f>
        <v>0.36409999999999998</v>
      </c>
      <c r="P99" s="9">
        <f>FinancialAnalysis[[#This Row],[Operating Profit]]/FinancialAnalysis[[#This Row],[Revenue]]</f>
        <v>2.3291616070054179E-2</v>
      </c>
      <c r="Q99" s="4">
        <f>FinancialAnalysis[[#This Row],[Revenue]]/FinancialAnalysis[[#This Row],[Units Sold]]</f>
        <v>118</v>
      </c>
      <c r="R99" s="4">
        <f>FinancialAnalysis[[#This Row],[Cost of Goods Sold]]/FinancialAnalysis[[#This Row],[Units Sold]]</f>
        <v>75.036200000000008</v>
      </c>
      <c r="S99" s="9">
        <f>FinancialAnalysis[[#This Row],[Total Operating Expenses]]/FinancialAnalysis[[#This Row],[Revenue]]</f>
        <v>0.34080838392994578</v>
      </c>
      <c r="T99" s="3" t="str">
        <f>IF(FinancialAnalysis[[#This Row],[Operating Profit]]&gt;0,"Profitable","Not Profitable")</f>
        <v>Profitable</v>
      </c>
    </row>
    <row r="100" spans="1:20" x14ac:dyDescent="0.3">
      <c r="A100" t="s">
        <v>16</v>
      </c>
      <c r="B100" t="s">
        <v>27</v>
      </c>
      <c r="C100" t="s">
        <v>25</v>
      </c>
      <c r="D100" s="1">
        <v>1074</v>
      </c>
      <c r="E100" s="3">
        <v>543</v>
      </c>
      <c r="F100" s="2">
        <v>583182</v>
      </c>
      <c r="G100" s="3">
        <v>443160.00180000003</v>
      </c>
      <c r="H100" s="3">
        <v>38431.693800000001</v>
      </c>
      <c r="I100" s="3">
        <v>17973</v>
      </c>
      <c r="J100" s="3">
        <v>9597</v>
      </c>
      <c r="K100" s="8">
        <v>33591.283199999998</v>
      </c>
      <c r="L100" s="3">
        <f>SUM(FinancialAnalysis[[#This Row],[Marketing Expense]:[Other Expense]])</f>
        <v>99592.977000000014</v>
      </c>
      <c r="M100" s="3">
        <f>FinancialAnalysis[[#This Row],[Revenue]]-FinancialAnalysis[[#This Row],[Cost of Goods Sold]]</f>
        <v>140021.99819999997</v>
      </c>
      <c r="N100" s="11">
        <f>FinancialAnalysis[[#This Row],[Gross Profit]]-FinancialAnalysis[[#This Row],[Total Operating Expenses]]</f>
        <v>40429.021199999959</v>
      </c>
      <c r="O100" s="9">
        <f>FinancialAnalysis[[#This Row],[Gross Profit]]/FinancialAnalysis[[#This Row],[Revenue]]</f>
        <v>0.24009999999999995</v>
      </c>
      <c r="P100" s="9">
        <f>FinancialAnalysis[[#This Row],[Operating Profit]]/FinancialAnalysis[[#This Row],[Revenue]]</f>
        <v>6.9324878339866391E-2</v>
      </c>
      <c r="Q100" s="4">
        <f>FinancialAnalysis[[#This Row],[Revenue]]/FinancialAnalysis[[#This Row],[Units Sold]]</f>
        <v>543</v>
      </c>
      <c r="R100" s="4">
        <f>FinancialAnalysis[[#This Row],[Cost of Goods Sold]]/FinancialAnalysis[[#This Row],[Units Sold]]</f>
        <v>412.62570000000005</v>
      </c>
      <c r="S100" s="9">
        <f>FinancialAnalysis[[#This Row],[Total Operating Expenses]]/FinancialAnalysis[[#This Row],[Revenue]]</f>
        <v>0.17077512166013356</v>
      </c>
      <c r="T100" s="3" t="str">
        <f>IF(FinancialAnalysis[[#This Row],[Operating Profit]]&gt;0,"Profitable","Not Profitable")</f>
        <v>Profitable</v>
      </c>
    </row>
    <row r="101" spans="1:20" x14ac:dyDescent="0.3">
      <c r="A101" t="s">
        <v>16</v>
      </c>
      <c r="B101" t="s">
        <v>27</v>
      </c>
      <c r="C101" t="s">
        <v>26</v>
      </c>
      <c r="D101" s="1">
        <v>1124</v>
      </c>
      <c r="E101" s="3">
        <v>47</v>
      </c>
      <c r="F101" s="2">
        <v>52828</v>
      </c>
      <c r="G101" s="3">
        <v>25933.265200000002</v>
      </c>
      <c r="H101" s="3">
        <v>2340.2804000000001</v>
      </c>
      <c r="I101" s="3">
        <v>11786</v>
      </c>
      <c r="J101" s="3">
        <v>12036</v>
      </c>
      <c r="K101" s="8">
        <v>2313.8663999999999</v>
      </c>
      <c r="L101" s="3">
        <f>SUM(FinancialAnalysis[[#This Row],[Marketing Expense]:[Other Expense]])</f>
        <v>28476.146799999999</v>
      </c>
      <c r="M101" s="3">
        <f>FinancialAnalysis[[#This Row],[Revenue]]-FinancialAnalysis[[#This Row],[Cost of Goods Sold]]</f>
        <v>26894.734799999998</v>
      </c>
      <c r="N101" s="11">
        <f>FinancialAnalysis[[#This Row],[Gross Profit]]-FinancialAnalysis[[#This Row],[Total Operating Expenses]]</f>
        <v>-1581.4120000000003</v>
      </c>
      <c r="O101" s="9">
        <f>FinancialAnalysis[[#This Row],[Gross Profit]]/FinancialAnalysis[[#This Row],[Revenue]]</f>
        <v>0.5091</v>
      </c>
      <c r="P101" s="9">
        <f>FinancialAnalysis[[#This Row],[Operating Profit]]/FinancialAnalysis[[#This Row],[Revenue]]</f>
        <v>-2.9935110168849859E-2</v>
      </c>
      <c r="Q101" s="4">
        <f>FinancialAnalysis[[#This Row],[Revenue]]/FinancialAnalysis[[#This Row],[Units Sold]]</f>
        <v>47</v>
      </c>
      <c r="R101" s="4">
        <f>FinancialAnalysis[[#This Row],[Cost of Goods Sold]]/FinancialAnalysis[[#This Row],[Units Sold]]</f>
        <v>23.072300000000002</v>
      </c>
      <c r="S101" s="9">
        <f>FinancialAnalysis[[#This Row],[Total Operating Expenses]]/FinancialAnalysis[[#This Row],[Revenue]]</f>
        <v>0.53903511016884986</v>
      </c>
      <c r="T101" s="3" t="str">
        <f>IF(FinancialAnalysis[[#This Row],[Operating Profit]]&gt;0,"Profitable","Not Profitable")</f>
        <v>Not Profitable</v>
      </c>
    </row>
    <row r="102" spans="1:20" x14ac:dyDescent="0.3">
      <c r="A102" t="s">
        <v>16</v>
      </c>
      <c r="B102" t="s">
        <v>28</v>
      </c>
      <c r="C102" t="s">
        <v>23</v>
      </c>
      <c r="D102" s="1">
        <v>1110</v>
      </c>
      <c r="E102" s="3">
        <v>235</v>
      </c>
      <c r="F102" s="2">
        <v>260850</v>
      </c>
      <c r="G102" s="3">
        <v>175604.22</v>
      </c>
      <c r="H102" s="3">
        <v>5660.4449999999997</v>
      </c>
      <c r="I102" s="3">
        <v>10504</v>
      </c>
      <c r="J102" s="3">
        <v>2734</v>
      </c>
      <c r="K102" s="8">
        <v>5556.1049999999996</v>
      </c>
      <c r="L102" s="3">
        <f>SUM(FinancialAnalysis[[#This Row],[Marketing Expense]:[Other Expense]])</f>
        <v>24454.55</v>
      </c>
      <c r="M102" s="3">
        <f>FinancialAnalysis[[#This Row],[Revenue]]-FinancialAnalysis[[#This Row],[Cost of Goods Sold]]</f>
        <v>85245.78</v>
      </c>
      <c r="N102" s="11">
        <f>FinancialAnalysis[[#This Row],[Gross Profit]]-FinancialAnalysis[[#This Row],[Total Operating Expenses]]</f>
        <v>60791.229999999996</v>
      </c>
      <c r="O102" s="9">
        <f>FinancialAnalysis[[#This Row],[Gross Profit]]/FinancialAnalysis[[#This Row],[Revenue]]</f>
        <v>0.32679999999999998</v>
      </c>
      <c r="P102" s="9">
        <f>FinancialAnalysis[[#This Row],[Operating Profit]]/FinancialAnalysis[[#This Row],[Revenue]]</f>
        <v>0.23305052712286753</v>
      </c>
      <c r="Q102" s="4">
        <f>FinancialAnalysis[[#This Row],[Revenue]]/FinancialAnalysis[[#This Row],[Units Sold]]</f>
        <v>235</v>
      </c>
      <c r="R102" s="4">
        <f>FinancialAnalysis[[#This Row],[Cost of Goods Sold]]/FinancialAnalysis[[#This Row],[Units Sold]]</f>
        <v>158.202</v>
      </c>
      <c r="S102" s="9">
        <f>FinancialAnalysis[[#This Row],[Total Operating Expenses]]/FinancialAnalysis[[#This Row],[Revenue]]</f>
        <v>9.374947287713245E-2</v>
      </c>
      <c r="T102" s="3" t="str">
        <f>IF(FinancialAnalysis[[#This Row],[Operating Profit]]&gt;0,"Profitable","Not Profitable")</f>
        <v>Profitable</v>
      </c>
    </row>
    <row r="103" spans="1:20" x14ac:dyDescent="0.3">
      <c r="A103" t="s">
        <v>16</v>
      </c>
      <c r="B103" t="s">
        <v>28</v>
      </c>
      <c r="C103" t="s">
        <v>29</v>
      </c>
      <c r="D103" s="1">
        <v>3183</v>
      </c>
      <c r="E103" s="3">
        <v>22</v>
      </c>
      <c r="F103" s="2">
        <v>70026</v>
      </c>
      <c r="G103" s="3">
        <v>36112.408200000005</v>
      </c>
      <c r="H103" s="3">
        <v>2731.0140000000001</v>
      </c>
      <c r="I103" s="3">
        <v>5293</v>
      </c>
      <c r="J103" s="3">
        <v>3355</v>
      </c>
      <c r="K103" s="8">
        <v>3284.2194</v>
      </c>
      <c r="L103" s="3">
        <f>SUM(FinancialAnalysis[[#This Row],[Marketing Expense]:[Other Expense]])</f>
        <v>14663.233399999999</v>
      </c>
      <c r="M103" s="3">
        <f>FinancialAnalysis[[#This Row],[Revenue]]-FinancialAnalysis[[#This Row],[Cost of Goods Sold]]</f>
        <v>33913.591799999995</v>
      </c>
      <c r="N103" s="11">
        <f>FinancialAnalysis[[#This Row],[Gross Profit]]-FinancialAnalysis[[#This Row],[Total Operating Expenses]]</f>
        <v>19250.358399999997</v>
      </c>
      <c r="O103" s="9">
        <f>FinancialAnalysis[[#This Row],[Gross Profit]]/FinancialAnalysis[[#This Row],[Revenue]]</f>
        <v>0.4842999999999999</v>
      </c>
      <c r="P103" s="9">
        <f>FinancialAnalysis[[#This Row],[Operating Profit]]/FinancialAnalysis[[#This Row],[Revenue]]</f>
        <v>0.27490301316653809</v>
      </c>
      <c r="Q103" s="4">
        <f>FinancialAnalysis[[#This Row],[Revenue]]/FinancialAnalysis[[#This Row],[Units Sold]]</f>
        <v>22</v>
      </c>
      <c r="R103" s="4">
        <f>FinancialAnalysis[[#This Row],[Cost of Goods Sold]]/FinancialAnalysis[[#This Row],[Units Sold]]</f>
        <v>11.345400000000001</v>
      </c>
      <c r="S103" s="9">
        <f>FinancialAnalysis[[#This Row],[Total Operating Expenses]]/FinancialAnalysis[[#This Row],[Revenue]]</f>
        <v>0.20939698683346183</v>
      </c>
      <c r="T103" s="3" t="str">
        <f>IF(FinancialAnalysis[[#This Row],[Operating Profit]]&gt;0,"Profitable","Not Profitable")</f>
        <v>Profitable</v>
      </c>
    </row>
    <row r="104" spans="1:20" x14ac:dyDescent="0.3">
      <c r="A104" t="s">
        <v>16</v>
      </c>
      <c r="B104" t="s">
        <v>28</v>
      </c>
      <c r="C104" t="s">
        <v>24</v>
      </c>
      <c r="D104" s="1">
        <v>2123</v>
      </c>
      <c r="E104" s="3">
        <v>25</v>
      </c>
      <c r="F104" s="2">
        <v>53075</v>
      </c>
      <c r="G104" s="3">
        <v>29196.557500000003</v>
      </c>
      <c r="H104" s="3">
        <v>1210.1100000000001</v>
      </c>
      <c r="I104" s="3">
        <v>8532</v>
      </c>
      <c r="J104" s="3">
        <v>3810</v>
      </c>
      <c r="K104" s="8">
        <v>2473.2950000000001</v>
      </c>
      <c r="L104" s="3">
        <f>SUM(FinancialAnalysis[[#This Row],[Marketing Expense]:[Other Expense]])</f>
        <v>16025.405000000001</v>
      </c>
      <c r="M104" s="3">
        <f>FinancialAnalysis[[#This Row],[Revenue]]-FinancialAnalysis[[#This Row],[Cost of Goods Sold]]</f>
        <v>23878.442499999997</v>
      </c>
      <c r="N104" s="11">
        <f>FinancialAnalysis[[#This Row],[Gross Profit]]-FinancialAnalysis[[#This Row],[Total Operating Expenses]]</f>
        <v>7853.0374999999967</v>
      </c>
      <c r="O104" s="9">
        <f>FinancialAnalysis[[#This Row],[Gross Profit]]/FinancialAnalysis[[#This Row],[Revenue]]</f>
        <v>0.44989999999999997</v>
      </c>
      <c r="P104" s="9">
        <f>FinancialAnalysis[[#This Row],[Operating Profit]]/FinancialAnalysis[[#This Row],[Revenue]]</f>
        <v>0.147961139896373</v>
      </c>
      <c r="Q104" s="4">
        <f>FinancialAnalysis[[#This Row],[Revenue]]/FinancialAnalysis[[#This Row],[Units Sold]]</f>
        <v>25</v>
      </c>
      <c r="R104" s="4">
        <f>FinancialAnalysis[[#This Row],[Cost of Goods Sold]]/FinancialAnalysis[[#This Row],[Units Sold]]</f>
        <v>13.752500000000001</v>
      </c>
      <c r="S104" s="9">
        <f>FinancialAnalysis[[#This Row],[Total Operating Expenses]]/FinancialAnalysis[[#This Row],[Revenue]]</f>
        <v>0.30193886010362697</v>
      </c>
      <c r="T104" s="3" t="str">
        <f>IF(FinancialAnalysis[[#This Row],[Operating Profit]]&gt;0,"Profitable","Not Profitable")</f>
        <v>Profitable</v>
      </c>
    </row>
    <row r="105" spans="1:20" x14ac:dyDescent="0.3">
      <c r="A105" t="s">
        <v>16</v>
      </c>
      <c r="B105" t="s">
        <v>28</v>
      </c>
      <c r="C105" t="s">
        <v>25</v>
      </c>
      <c r="D105" s="1">
        <v>2480</v>
      </c>
      <c r="E105" s="3">
        <v>450</v>
      </c>
      <c r="F105" s="2">
        <v>1116000</v>
      </c>
      <c r="G105" s="3">
        <v>783878.4</v>
      </c>
      <c r="H105" s="3">
        <v>50666.400000000001</v>
      </c>
      <c r="I105" s="3">
        <v>12789</v>
      </c>
      <c r="J105" s="3">
        <v>4164</v>
      </c>
      <c r="K105" s="8">
        <v>26226</v>
      </c>
      <c r="L105" s="3">
        <f>SUM(FinancialAnalysis[[#This Row],[Marketing Expense]:[Other Expense]])</f>
        <v>93845.4</v>
      </c>
      <c r="M105" s="3">
        <f>FinancialAnalysis[[#This Row],[Revenue]]-FinancialAnalysis[[#This Row],[Cost of Goods Sold]]</f>
        <v>332121.59999999998</v>
      </c>
      <c r="N105" s="11">
        <f>FinancialAnalysis[[#This Row],[Gross Profit]]-FinancialAnalysis[[#This Row],[Total Operating Expenses]]</f>
        <v>238276.19999999998</v>
      </c>
      <c r="O105" s="9">
        <f>FinancialAnalysis[[#This Row],[Gross Profit]]/FinancialAnalysis[[#This Row],[Revenue]]</f>
        <v>0.29759999999999998</v>
      </c>
      <c r="P105" s="9">
        <f>FinancialAnalysis[[#This Row],[Operating Profit]]/FinancialAnalysis[[#This Row],[Revenue]]</f>
        <v>0.21350913978494623</v>
      </c>
      <c r="Q105" s="4">
        <f>FinancialAnalysis[[#This Row],[Revenue]]/FinancialAnalysis[[#This Row],[Units Sold]]</f>
        <v>450</v>
      </c>
      <c r="R105" s="4">
        <f>FinancialAnalysis[[#This Row],[Cost of Goods Sold]]/FinancialAnalysis[[#This Row],[Units Sold]]</f>
        <v>316.08</v>
      </c>
      <c r="S105" s="9">
        <f>FinancialAnalysis[[#This Row],[Total Operating Expenses]]/FinancialAnalysis[[#This Row],[Revenue]]</f>
        <v>8.4090860215053756E-2</v>
      </c>
      <c r="T105" s="3" t="str">
        <f>IF(FinancialAnalysis[[#This Row],[Operating Profit]]&gt;0,"Profitable","Not Profitable")</f>
        <v>Profitable</v>
      </c>
    </row>
    <row r="106" spans="1:20" x14ac:dyDescent="0.3">
      <c r="A106" t="s">
        <v>16</v>
      </c>
      <c r="B106" t="s">
        <v>28</v>
      </c>
      <c r="C106" t="s">
        <v>26</v>
      </c>
      <c r="D106" s="1">
        <v>2896</v>
      </c>
      <c r="E106" s="3">
        <v>25</v>
      </c>
      <c r="F106" s="2">
        <v>72400</v>
      </c>
      <c r="G106" s="3">
        <v>47356.840000000004</v>
      </c>
      <c r="H106" s="3">
        <v>2367.48</v>
      </c>
      <c r="I106" s="3">
        <v>11192</v>
      </c>
      <c r="J106" s="3">
        <v>2011</v>
      </c>
      <c r="K106" s="8">
        <v>4322.28</v>
      </c>
      <c r="L106" s="3">
        <f>SUM(FinancialAnalysis[[#This Row],[Marketing Expense]:[Other Expense]])</f>
        <v>19892.759999999998</v>
      </c>
      <c r="M106" s="3">
        <f>FinancialAnalysis[[#This Row],[Revenue]]-FinancialAnalysis[[#This Row],[Cost of Goods Sold]]</f>
        <v>25043.159999999996</v>
      </c>
      <c r="N106" s="11">
        <f>FinancialAnalysis[[#This Row],[Gross Profit]]-FinancialAnalysis[[#This Row],[Total Operating Expenses]]</f>
        <v>5150.3999999999978</v>
      </c>
      <c r="O106" s="9">
        <f>FinancialAnalysis[[#This Row],[Gross Profit]]/FinancialAnalysis[[#This Row],[Revenue]]</f>
        <v>0.34589999999999993</v>
      </c>
      <c r="P106" s="9">
        <f>FinancialAnalysis[[#This Row],[Operating Profit]]/FinancialAnalysis[[#This Row],[Revenue]]</f>
        <v>7.1138121546961294E-2</v>
      </c>
      <c r="Q106" s="4">
        <f>FinancialAnalysis[[#This Row],[Revenue]]/FinancialAnalysis[[#This Row],[Units Sold]]</f>
        <v>25</v>
      </c>
      <c r="R106" s="4">
        <f>FinancialAnalysis[[#This Row],[Cost of Goods Sold]]/FinancialAnalysis[[#This Row],[Units Sold]]</f>
        <v>16.352500000000003</v>
      </c>
      <c r="S106" s="9">
        <f>FinancialAnalysis[[#This Row],[Total Operating Expenses]]/FinancialAnalysis[[#This Row],[Revenue]]</f>
        <v>0.27476187845303868</v>
      </c>
      <c r="T106" s="3" t="str">
        <f>IF(FinancialAnalysis[[#This Row],[Operating Profit]]&gt;0,"Profitable","Not Profitable")</f>
        <v>Profitable</v>
      </c>
    </row>
    <row r="107" spans="1:20" x14ac:dyDescent="0.3">
      <c r="A107" t="s">
        <v>17</v>
      </c>
      <c r="B107" t="s">
        <v>22</v>
      </c>
      <c r="C107" t="s">
        <v>23</v>
      </c>
      <c r="D107" s="1">
        <v>1769</v>
      </c>
      <c r="E107" s="3">
        <v>247</v>
      </c>
      <c r="F107" s="2">
        <v>436943</v>
      </c>
      <c r="G107" s="3">
        <v>257971.14720000001</v>
      </c>
      <c r="H107" s="3">
        <v>29799.512599999998</v>
      </c>
      <c r="I107" s="3">
        <v>4158</v>
      </c>
      <c r="J107" s="3">
        <v>3629</v>
      </c>
      <c r="K107" s="8">
        <v>23551.227699999999</v>
      </c>
      <c r="L107" s="3">
        <f>SUM(FinancialAnalysis[[#This Row],[Marketing Expense]:[Other Expense]])</f>
        <v>61137.740300000005</v>
      </c>
      <c r="M107" s="3">
        <f>FinancialAnalysis[[#This Row],[Revenue]]-FinancialAnalysis[[#This Row],[Cost of Goods Sold]]</f>
        <v>178971.85279999999</v>
      </c>
      <c r="N107" s="11">
        <f>FinancialAnalysis[[#This Row],[Gross Profit]]-FinancialAnalysis[[#This Row],[Total Operating Expenses]]</f>
        <v>117834.11249999999</v>
      </c>
      <c r="O107" s="9">
        <f>FinancialAnalysis[[#This Row],[Gross Profit]]/FinancialAnalysis[[#This Row],[Revenue]]</f>
        <v>0.40959999999999996</v>
      </c>
      <c r="P107" s="9">
        <f>FinancialAnalysis[[#This Row],[Operating Profit]]/FinancialAnalysis[[#This Row],[Revenue]]</f>
        <v>0.26967845348249081</v>
      </c>
      <c r="Q107" s="4">
        <f>FinancialAnalysis[[#This Row],[Revenue]]/FinancialAnalysis[[#This Row],[Units Sold]]</f>
        <v>247</v>
      </c>
      <c r="R107" s="4">
        <f>FinancialAnalysis[[#This Row],[Cost of Goods Sold]]/FinancialAnalysis[[#This Row],[Units Sold]]</f>
        <v>145.8288</v>
      </c>
      <c r="S107" s="9">
        <f>FinancialAnalysis[[#This Row],[Total Operating Expenses]]/FinancialAnalysis[[#This Row],[Revenue]]</f>
        <v>0.13992154651750915</v>
      </c>
      <c r="T107" s="3" t="str">
        <f>IF(FinancialAnalysis[[#This Row],[Operating Profit]]&gt;0,"Profitable","Not Profitable")</f>
        <v>Profitable</v>
      </c>
    </row>
    <row r="108" spans="1:20" x14ac:dyDescent="0.3">
      <c r="A108" t="s">
        <v>17</v>
      </c>
      <c r="B108" t="s">
        <v>22</v>
      </c>
      <c r="C108" t="s">
        <v>29</v>
      </c>
      <c r="D108" s="1">
        <v>1902</v>
      </c>
      <c r="E108" s="3">
        <v>23</v>
      </c>
      <c r="F108" s="2">
        <v>43746</v>
      </c>
      <c r="G108" s="3">
        <v>20875.591199999999</v>
      </c>
      <c r="H108" s="3">
        <v>3022.8485999999998</v>
      </c>
      <c r="I108" s="3">
        <v>9094</v>
      </c>
      <c r="J108" s="3">
        <v>3528</v>
      </c>
      <c r="K108" s="8">
        <v>2336.0364</v>
      </c>
      <c r="L108" s="3">
        <f>SUM(FinancialAnalysis[[#This Row],[Marketing Expense]:[Other Expense]])</f>
        <v>17980.884999999998</v>
      </c>
      <c r="M108" s="3">
        <f>FinancialAnalysis[[#This Row],[Revenue]]-FinancialAnalysis[[#This Row],[Cost of Goods Sold]]</f>
        <v>22870.408800000001</v>
      </c>
      <c r="N108" s="11">
        <f>FinancialAnalysis[[#This Row],[Gross Profit]]-FinancialAnalysis[[#This Row],[Total Operating Expenses]]</f>
        <v>4889.5238000000027</v>
      </c>
      <c r="O108" s="9">
        <f>FinancialAnalysis[[#This Row],[Gross Profit]]/FinancialAnalysis[[#This Row],[Revenue]]</f>
        <v>0.52280000000000004</v>
      </c>
      <c r="P108" s="9">
        <f>FinancialAnalysis[[#This Row],[Operating Profit]]/FinancialAnalysis[[#This Row],[Revenue]]</f>
        <v>0.11177076304119239</v>
      </c>
      <c r="Q108" s="4">
        <f>FinancialAnalysis[[#This Row],[Revenue]]/FinancialAnalysis[[#This Row],[Units Sold]]</f>
        <v>23</v>
      </c>
      <c r="R108" s="4">
        <f>FinancialAnalysis[[#This Row],[Cost of Goods Sold]]/FinancialAnalysis[[#This Row],[Units Sold]]</f>
        <v>10.9756</v>
      </c>
      <c r="S108" s="9">
        <f>FinancialAnalysis[[#This Row],[Total Operating Expenses]]/FinancialAnalysis[[#This Row],[Revenue]]</f>
        <v>0.41102923695880761</v>
      </c>
      <c r="T108" s="3" t="str">
        <f>IF(FinancialAnalysis[[#This Row],[Operating Profit]]&gt;0,"Profitable","Not Profitable")</f>
        <v>Profitable</v>
      </c>
    </row>
    <row r="109" spans="1:20" x14ac:dyDescent="0.3">
      <c r="A109" t="s">
        <v>17</v>
      </c>
      <c r="B109" t="s">
        <v>22</v>
      </c>
      <c r="C109" t="s">
        <v>24</v>
      </c>
      <c r="D109" s="1">
        <v>1631</v>
      </c>
      <c r="E109" s="3">
        <v>113</v>
      </c>
      <c r="F109" s="2">
        <v>184303</v>
      </c>
      <c r="G109" s="3">
        <v>114876.05989999999</v>
      </c>
      <c r="H109" s="3">
        <v>18596.172699999999</v>
      </c>
      <c r="I109" s="3">
        <v>8867</v>
      </c>
      <c r="J109" s="3">
        <v>2059</v>
      </c>
      <c r="K109" s="8">
        <v>7630.1441999999997</v>
      </c>
      <c r="L109" s="3">
        <f>SUM(FinancialAnalysis[[#This Row],[Marketing Expense]:[Other Expense]])</f>
        <v>37152.316899999998</v>
      </c>
      <c r="M109" s="3">
        <f>FinancialAnalysis[[#This Row],[Revenue]]-FinancialAnalysis[[#This Row],[Cost of Goods Sold]]</f>
        <v>69426.940100000007</v>
      </c>
      <c r="N109" s="11">
        <f>FinancialAnalysis[[#This Row],[Gross Profit]]-FinancialAnalysis[[#This Row],[Total Operating Expenses]]</f>
        <v>32274.623200000009</v>
      </c>
      <c r="O109" s="9">
        <f>FinancialAnalysis[[#This Row],[Gross Profit]]/FinancialAnalysis[[#This Row],[Revenue]]</f>
        <v>0.37670000000000003</v>
      </c>
      <c r="P109" s="9">
        <f>FinancialAnalysis[[#This Row],[Operating Profit]]/FinancialAnalysis[[#This Row],[Revenue]]</f>
        <v>0.17511718854278013</v>
      </c>
      <c r="Q109" s="4">
        <f>FinancialAnalysis[[#This Row],[Revenue]]/FinancialAnalysis[[#This Row],[Units Sold]]</f>
        <v>113</v>
      </c>
      <c r="R109" s="4">
        <f>FinancialAnalysis[[#This Row],[Cost of Goods Sold]]/FinancialAnalysis[[#This Row],[Units Sold]]</f>
        <v>70.432899999999989</v>
      </c>
      <c r="S109" s="9">
        <f>FinancialAnalysis[[#This Row],[Total Operating Expenses]]/FinancialAnalysis[[#This Row],[Revenue]]</f>
        <v>0.2015828114572199</v>
      </c>
      <c r="T109" s="3" t="str">
        <f>IF(FinancialAnalysis[[#This Row],[Operating Profit]]&gt;0,"Profitable","Not Profitable")</f>
        <v>Profitable</v>
      </c>
    </row>
    <row r="110" spans="1:20" x14ac:dyDescent="0.3">
      <c r="A110" t="s">
        <v>17</v>
      </c>
      <c r="B110" t="s">
        <v>22</v>
      </c>
      <c r="C110" t="s">
        <v>25</v>
      </c>
      <c r="D110" s="1">
        <v>1351</v>
      </c>
      <c r="E110" s="3">
        <v>289</v>
      </c>
      <c r="F110" s="2">
        <v>390439</v>
      </c>
      <c r="G110" s="3">
        <v>259876.19839999999</v>
      </c>
      <c r="H110" s="3">
        <v>32757.8321</v>
      </c>
      <c r="I110" s="3">
        <v>6377</v>
      </c>
      <c r="J110" s="3">
        <v>3873</v>
      </c>
      <c r="K110" s="8">
        <v>22918.7693</v>
      </c>
      <c r="L110" s="3">
        <f>SUM(FinancialAnalysis[[#This Row],[Marketing Expense]:[Other Expense]])</f>
        <v>65926.6014</v>
      </c>
      <c r="M110" s="3">
        <f>FinancialAnalysis[[#This Row],[Revenue]]-FinancialAnalysis[[#This Row],[Cost of Goods Sold]]</f>
        <v>130562.80160000001</v>
      </c>
      <c r="N110" s="11">
        <f>FinancialAnalysis[[#This Row],[Gross Profit]]-FinancialAnalysis[[#This Row],[Total Operating Expenses]]</f>
        <v>64636.200200000007</v>
      </c>
      <c r="O110" s="9">
        <f>FinancialAnalysis[[#This Row],[Gross Profit]]/FinancialAnalysis[[#This Row],[Revenue]]</f>
        <v>0.33440000000000003</v>
      </c>
      <c r="P110" s="9">
        <f>FinancialAnalysis[[#This Row],[Operating Profit]]/FinancialAnalysis[[#This Row],[Revenue]]</f>
        <v>0.16554749960941403</v>
      </c>
      <c r="Q110" s="4">
        <f>FinancialAnalysis[[#This Row],[Revenue]]/FinancialAnalysis[[#This Row],[Units Sold]]</f>
        <v>289</v>
      </c>
      <c r="R110" s="4">
        <f>FinancialAnalysis[[#This Row],[Cost of Goods Sold]]/FinancialAnalysis[[#This Row],[Units Sold]]</f>
        <v>192.35839999999999</v>
      </c>
      <c r="S110" s="9">
        <f>FinancialAnalysis[[#This Row],[Total Operating Expenses]]/FinancialAnalysis[[#This Row],[Revenue]]</f>
        <v>0.16885250039058597</v>
      </c>
      <c r="T110" s="3" t="str">
        <f>IF(FinancialAnalysis[[#This Row],[Operating Profit]]&gt;0,"Profitable","Not Profitable")</f>
        <v>Profitable</v>
      </c>
    </row>
    <row r="111" spans="1:20" x14ac:dyDescent="0.3">
      <c r="A111" t="s">
        <v>17</v>
      </c>
      <c r="B111" t="s">
        <v>22</v>
      </c>
      <c r="C111" t="s">
        <v>26</v>
      </c>
      <c r="D111" s="1">
        <v>1683</v>
      </c>
      <c r="E111" s="3">
        <v>31</v>
      </c>
      <c r="F111" s="2">
        <v>52173</v>
      </c>
      <c r="G111" s="3">
        <v>34298.530200000001</v>
      </c>
      <c r="H111" s="3">
        <v>4528.6163999999999</v>
      </c>
      <c r="I111" s="3">
        <v>8321</v>
      </c>
      <c r="J111" s="3">
        <v>2535</v>
      </c>
      <c r="K111" s="8">
        <v>1820.8377</v>
      </c>
      <c r="L111" s="3">
        <f>SUM(FinancialAnalysis[[#This Row],[Marketing Expense]:[Other Expense]])</f>
        <v>17205.454099999999</v>
      </c>
      <c r="M111" s="3">
        <f>FinancialAnalysis[[#This Row],[Revenue]]-FinancialAnalysis[[#This Row],[Cost of Goods Sold]]</f>
        <v>17874.469799999999</v>
      </c>
      <c r="N111" s="11">
        <f>FinancialAnalysis[[#This Row],[Gross Profit]]-FinancialAnalysis[[#This Row],[Total Operating Expenses]]</f>
        <v>669.01569999999992</v>
      </c>
      <c r="O111" s="9">
        <f>FinancialAnalysis[[#This Row],[Gross Profit]]/FinancialAnalysis[[#This Row],[Revenue]]</f>
        <v>0.34259999999999996</v>
      </c>
      <c r="P111" s="9">
        <f>FinancialAnalysis[[#This Row],[Operating Profit]]/FinancialAnalysis[[#This Row],[Revenue]]</f>
        <v>1.2823025319609759E-2</v>
      </c>
      <c r="Q111" s="4">
        <f>FinancialAnalysis[[#This Row],[Revenue]]/FinancialAnalysis[[#This Row],[Units Sold]]</f>
        <v>31</v>
      </c>
      <c r="R111" s="4">
        <f>FinancialAnalysis[[#This Row],[Cost of Goods Sold]]/FinancialAnalysis[[#This Row],[Units Sold]]</f>
        <v>20.3794</v>
      </c>
      <c r="S111" s="9">
        <f>FinancialAnalysis[[#This Row],[Total Operating Expenses]]/FinancialAnalysis[[#This Row],[Revenue]]</f>
        <v>0.32977697468039024</v>
      </c>
      <c r="T111" s="3" t="str">
        <f>IF(FinancialAnalysis[[#This Row],[Operating Profit]]&gt;0,"Profitable","Not Profitable")</f>
        <v>Profitable</v>
      </c>
    </row>
    <row r="112" spans="1:20" x14ac:dyDescent="0.3">
      <c r="A112" t="s">
        <v>17</v>
      </c>
      <c r="B112" t="s">
        <v>27</v>
      </c>
      <c r="C112" t="s">
        <v>23</v>
      </c>
      <c r="D112" s="1">
        <v>764</v>
      </c>
      <c r="E112" s="3">
        <v>123</v>
      </c>
      <c r="F112" s="2">
        <v>93972</v>
      </c>
      <c r="G112" s="3">
        <v>60132.682800000002</v>
      </c>
      <c r="H112" s="3">
        <v>2903.7348000000002</v>
      </c>
      <c r="I112" s="3">
        <v>17343</v>
      </c>
      <c r="J112" s="3">
        <v>9822</v>
      </c>
      <c r="K112" s="8">
        <v>2612.4216000000001</v>
      </c>
      <c r="L112" s="3">
        <f>SUM(FinancialAnalysis[[#This Row],[Marketing Expense]:[Other Expense]])</f>
        <v>32681.1564</v>
      </c>
      <c r="M112" s="3">
        <f>FinancialAnalysis[[#This Row],[Revenue]]-FinancialAnalysis[[#This Row],[Cost of Goods Sold]]</f>
        <v>33839.317199999998</v>
      </c>
      <c r="N112" s="11">
        <f>FinancialAnalysis[[#This Row],[Gross Profit]]-FinancialAnalysis[[#This Row],[Total Operating Expenses]]</f>
        <v>1158.1607999999978</v>
      </c>
      <c r="O112" s="9">
        <f>FinancialAnalysis[[#This Row],[Gross Profit]]/FinancialAnalysis[[#This Row],[Revenue]]</f>
        <v>0.36009999999999998</v>
      </c>
      <c r="P112" s="9">
        <f>FinancialAnalysis[[#This Row],[Operating Profit]]/FinancialAnalysis[[#This Row],[Revenue]]</f>
        <v>1.2324530711275676E-2</v>
      </c>
      <c r="Q112" s="4">
        <f>FinancialAnalysis[[#This Row],[Revenue]]/FinancialAnalysis[[#This Row],[Units Sold]]</f>
        <v>123</v>
      </c>
      <c r="R112" s="4">
        <f>FinancialAnalysis[[#This Row],[Cost of Goods Sold]]/FinancialAnalysis[[#This Row],[Units Sold]]</f>
        <v>78.707700000000003</v>
      </c>
      <c r="S112" s="9">
        <f>FinancialAnalysis[[#This Row],[Total Operating Expenses]]/FinancialAnalysis[[#This Row],[Revenue]]</f>
        <v>0.34777546928872433</v>
      </c>
      <c r="T112" s="3" t="str">
        <f>IF(FinancialAnalysis[[#This Row],[Operating Profit]]&gt;0,"Profitable","Not Profitable")</f>
        <v>Profitable</v>
      </c>
    </row>
    <row r="113" spans="1:20" x14ac:dyDescent="0.3">
      <c r="A113" t="s">
        <v>17</v>
      </c>
      <c r="B113" t="s">
        <v>27</v>
      </c>
      <c r="C113" t="s">
        <v>29</v>
      </c>
      <c r="D113" s="1">
        <v>1205</v>
      </c>
      <c r="E113" s="3">
        <v>71</v>
      </c>
      <c r="F113" s="2">
        <v>85555</v>
      </c>
      <c r="G113" s="3">
        <v>43992.381000000001</v>
      </c>
      <c r="H113" s="3">
        <v>5749.2959999999994</v>
      </c>
      <c r="I113" s="3">
        <v>17305</v>
      </c>
      <c r="J113" s="3">
        <v>13198</v>
      </c>
      <c r="K113" s="8">
        <v>5116.1890000000003</v>
      </c>
      <c r="L113" s="3">
        <f>SUM(FinancialAnalysis[[#This Row],[Marketing Expense]:[Other Expense]])</f>
        <v>41368.485000000001</v>
      </c>
      <c r="M113" s="3">
        <f>FinancialAnalysis[[#This Row],[Revenue]]-FinancialAnalysis[[#This Row],[Cost of Goods Sold]]</f>
        <v>41562.618999999999</v>
      </c>
      <c r="N113" s="11">
        <f>FinancialAnalysis[[#This Row],[Gross Profit]]-FinancialAnalysis[[#This Row],[Total Operating Expenses]]</f>
        <v>194.1339999999982</v>
      </c>
      <c r="O113" s="9">
        <f>FinancialAnalysis[[#This Row],[Gross Profit]]/FinancialAnalysis[[#This Row],[Revenue]]</f>
        <v>0.48580000000000001</v>
      </c>
      <c r="P113" s="9">
        <f>FinancialAnalysis[[#This Row],[Operating Profit]]/FinancialAnalysis[[#This Row],[Revenue]]</f>
        <v>2.26911343580151E-3</v>
      </c>
      <c r="Q113" s="4">
        <f>FinancialAnalysis[[#This Row],[Revenue]]/FinancialAnalysis[[#This Row],[Units Sold]]</f>
        <v>71</v>
      </c>
      <c r="R113" s="4">
        <f>FinancialAnalysis[[#This Row],[Cost of Goods Sold]]/FinancialAnalysis[[#This Row],[Units Sold]]</f>
        <v>36.508200000000002</v>
      </c>
      <c r="S113" s="9">
        <f>FinancialAnalysis[[#This Row],[Total Operating Expenses]]/FinancialAnalysis[[#This Row],[Revenue]]</f>
        <v>0.48353088656419846</v>
      </c>
      <c r="T113" s="3" t="str">
        <f>IF(FinancialAnalysis[[#This Row],[Operating Profit]]&gt;0,"Profitable","Not Profitable")</f>
        <v>Profitable</v>
      </c>
    </row>
    <row r="114" spans="1:20" x14ac:dyDescent="0.3">
      <c r="A114" t="s">
        <v>17</v>
      </c>
      <c r="B114" t="s">
        <v>27</v>
      </c>
      <c r="C114" t="s">
        <v>24</v>
      </c>
      <c r="D114" s="1">
        <v>1028</v>
      </c>
      <c r="E114" s="3">
        <v>33</v>
      </c>
      <c r="F114" s="2">
        <v>33924</v>
      </c>
      <c r="G114" s="3">
        <v>18980.477999999999</v>
      </c>
      <c r="H114" s="3">
        <v>1316.2511999999999</v>
      </c>
      <c r="I114" s="3">
        <v>17190</v>
      </c>
      <c r="J114" s="3">
        <v>6202</v>
      </c>
      <c r="K114" s="8">
        <v>1546.9344000000001</v>
      </c>
      <c r="L114" s="3">
        <f>SUM(FinancialAnalysis[[#This Row],[Marketing Expense]:[Other Expense]])</f>
        <v>26255.185599999997</v>
      </c>
      <c r="M114" s="3">
        <f>FinancialAnalysis[[#This Row],[Revenue]]-FinancialAnalysis[[#This Row],[Cost of Goods Sold]]</f>
        <v>14943.522000000001</v>
      </c>
      <c r="N114" s="11">
        <f>FinancialAnalysis[[#This Row],[Gross Profit]]-FinancialAnalysis[[#This Row],[Total Operating Expenses]]</f>
        <v>-11311.663599999996</v>
      </c>
      <c r="O114" s="9">
        <f>FinancialAnalysis[[#This Row],[Gross Profit]]/FinancialAnalysis[[#This Row],[Revenue]]</f>
        <v>0.4405</v>
      </c>
      <c r="P114" s="9">
        <f>FinancialAnalysis[[#This Row],[Operating Profit]]/FinancialAnalysis[[#This Row],[Revenue]]</f>
        <v>-0.33344132767362328</v>
      </c>
      <c r="Q114" s="4">
        <f>FinancialAnalysis[[#This Row],[Revenue]]/FinancialAnalysis[[#This Row],[Units Sold]]</f>
        <v>33</v>
      </c>
      <c r="R114" s="4">
        <f>FinancialAnalysis[[#This Row],[Cost of Goods Sold]]/FinancialAnalysis[[#This Row],[Units Sold]]</f>
        <v>18.4635</v>
      </c>
      <c r="S114" s="9">
        <f>FinancialAnalysis[[#This Row],[Total Operating Expenses]]/FinancialAnalysis[[#This Row],[Revenue]]</f>
        <v>0.77394132767362334</v>
      </c>
      <c r="T114" s="3" t="str">
        <f>IF(FinancialAnalysis[[#This Row],[Operating Profit]]&gt;0,"Profitable","Not Profitable")</f>
        <v>Not Profitable</v>
      </c>
    </row>
    <row r="115" spans="1:20" x14ac:dyDescent="0.3">
      <c r="A115" t="s">
        <v>17</v>
      </c>
      <c r="B115" t="s">
        <v>27</v>
      </c>
      <c r="C115" t="s">
        <v>25</v>
      </c>
      <c r="D115" s="1">
        <v>609</v>
      </c>
      <c r="E115" s="3">
        <v>588</v>
      </c>
      <c r="F115" s="2">
        <v>358092</v>
      </c>
      <c r="G115" s="3">
        <v>255964.16159999999</v>
      </c>
      <c r="H115" s="3">
        <v>14466.916799999999</v>
      </c>
      <c r="I115" s="3">
        <v>13333</v>
      </c>
      <c r="J115" s="3">
        <v>10522</v>
      </c>
      <c r="K115" s="8">
        <v>20876.763599999998</v>
      </c>
      <c r="L115" s="3">
        <f>SUM(FinancialAnalysis[[#This Row],[Marketing Expense]:[Other Expense]])</f>
        <v>59198.680399999997</v>
      </c>
      <c r="M115" s="3">
        <f>FinancialAnalysis[[#This Row],[Revenue]]-FinancialAnalysis[[#This Row],[Cost of Goods Sold]]</f>
        <v>102127.83840000001</v>
      </c>
      <c r="N115" s="11">
        <f>FinancialAnalysis[[#This Row],[Gross Profit]]-FinancialAnalysis[[#This Row],[Total Operating Expenses]]</f>
        <v>42929.15800000001</v>
      </c>
      <c r="O115" s="9">
        <f>FinancialAnalysis[[#This Row],[Gross Profit]]/FinancialAnalysis[[#This Row],[Revenue]]</f>
        <v>0.28520000000000001</v>
      </c>
      <c r="P115" s="9">
        <f>FinancialAnalysis[[#This Row],[Operating Profit]]/FinancialAnalysis[[#This Row],[Revenue]]</f>
        <v>0.11988304122962817</v>
      </c>
      <c r="Q115" s="4">
        <f>FinancialAnalysis[[#This Row],[Revenue]]/FinancialAnalysis[[#This Row],[Units Sold]]</f>
        <v>588</v>
      </c>
      <c r="R115" s="4">
        <f>FinancialAnalysis[[#This Row],[Cost of Goods Sold]]/FinancialAnalysis[[#This Row],[Units Sold]]</f>
        <v>420.30239999999998</v>
      </c>
      <c r="S115" s="9">
        <f>FinancialAnalysis[[#This Row],[Total Operating Expenses]]/FinancialAnalysis[[#This Row],[Revenue]]</f>
        <v>0.16531695877037186</v>
      </c>
      <c r="T115" s="3" t="str">
        <f>IF(FinancialAnalysis[[#This Row],[Operating Profit]]&gt;0,"Profitable","Not Profitable")</f>
        <v>Profitable</v>
      </c>
    </row>
    <row r="116" spans="1:20" x14ac:dyDescent="0.3">
      <c r="A116" t="s">
        <v>17</v>
      </c>
      <c r="B116" t="s">
        <v>27</v>
      </c>
      <c r="C116" t="s">
        <v>26</v>
      </c>
      <c r="D116" s="1">
        <v>754</v>
      </c>
      <c r="E116" s="3">
        <v>52</v>
      </c>
      <c r="F116" s="2">
        <v>39208</v>
      </c>
      <c r="G116" s="3">
        <v>19854.931199999999</v>
      </c>
      <c r="H116" s="3">
        <v>2646.54</v>
      </c>
      <c r="I116" s="3">
        <v>18044</v>
      </c>
      <c r="J116" s="3">
        <v>8694</v>
      </c>
      <c r="K116" s="8">
        <v>2242.6976</v>
      </c>
      <c r="L116" s="3">
        <f>SUM(FinancialAnalysis[[#This Row],[Marketing Expense]:[Other Expense]])</f>
        <v>31627.2376</v>
      </c>
      <c r="M116" s="3">
        <f>FinancialAnalysis[[#This Row],[Revenue]]-FinancialAnalysis[[#This Row],[Cost of Goods Sold]]</f>
        <v>19353.068800000001</v>
      </c>
      <c r="N116" s="11">
        <f>FinancialAnalysis[[#This Row],[Gross Profit]]-FinancialAnalysis[[#This Row],[Total Operating Expenses]]</f>
        <v>-12274.168799999999</v>
      </c>
      <c r="O116" s="9">
        <f>FinancialAnalysis[[#This Row],[Gross Profit]]/FinancialAnalysis[[#This Row],[Revenue]]</f>
        <v>0.49360000000000004</v>
      </c>
      <c r="P116" s="9">
        <f>FinancialAnalysis[[#This Row],[Operating Profit]]/FinancialAnalysis[[#This Row],[Revenue]]</f>
        <v>-0.31305266272189347</v>
      </c>
      <c r="Q116" s="4">
        <f>FinancialAnalysis[[#This Row],[Revenue]]/FinancialAnalysis[[#This Row],[Units Sold]]</f>
        <v>52</v>
      </c>
      <c r="R116" s="4">
        <f>FinancialAnalysis[[#This Row],[Cost of Goods Sold]]/FinancialAnalysis[[#This Row],[Units Sold]]</f>
        <v>26.332799999999999</v>
      </c>
      <c r="S116" s="9">
        <f>FinancialAnalysis[[#This Row],[Total Operating Expenses]]/FinancialAnalysis[[#This Row],[Revenue]]</f>
        <v>0.80665266272189351</v>
      </c>
      <c r="T116" s="3" t="str">
        <f>IF(FinancialAnalysis[[#This Row],[Operating Profit]]&gt;0,"Profitable","Not Profitable")</f>
        <v>Not Profitable</v>
      </c>
    </row>
    <row r="117" spans="1:20" x14ac:dyDescent="0.3">
      <c r="A117" t="s">
        <v>17</v>
      </c>
      <c r="B117" t="s">
        <v>28</v>
      </c>
      <c r="C117" t="s">
        <v>23</v>
      </c>
      <c r="D117" s="1">
        <v>2596</v>
      </c>
      <c r="E117" s="3">
        <v>175</v>
      </c>
      <c r="F117" s="2">
        <v>454300</v>
      </c>
      <c r="G117" s="3">
        <v>316510.81</v>
      </c>
      <c r="H117" s="3">
        <v>10403.469999999999</v>
      </c>
      <c r="I117" s="3">
        <v>7599</v>
      </c>
      <c r="J117" s="3">
        <v>2194</v>
      </c>
      <c r="K117" s="8">
        <v>17626.84</v>
      </c>
      <c r="L117" s="3">
        <f>SUM(FinancialAnalysis[[#This Row],[Marketing Expense]:[Other Expense]])</f>
        <v>37823.31</v>
      </c>
      <c r="M117" s="3">
        <f>FinancialAnalysis[[#This Row],[Revenue]]-FinancialAnalysis[[#This Row],[Cost of Goods Sold]]</f>
        <v>137789.19</v>
      </c>
      <c r="N117" s="11">
        <f>FinancialAnalysis[[#This Row],[Gross Profit]]-FinancialAnalysis[[#This Row],[Total Operating Expenses]]</f>
        <v>99965.88</v>
      </c>
      <c r="O117" s="9">
        <f>FinancialAnalysis[[#This Row],[Gross Profit]]/FinancialAnalysis[[#This Row],[Revenue]]</f>
        <v>0.30330000000000001</v>
      </c>
      <c r="P117" s="9">
        <f>FinancialAnalysis[[#This Row],[Operating Profit]]/FinancialAnalysis[[#This Row],[Revenue]]</f>
        <v>0.22004375963020031</v>
      </c>
      <c r="Q117" s="4">
        <f>FinancialAnalysis[[#This Row],[Revenue]]/FinancialAnalysis[[#This Row],[Units Sold]]</f>
        <v>175</v>
      </c>
      <c r="R117" s="4">
        <f>FinancialAnalysis[[#This Row],[Cost of Goods Sold]]/FinancialAnalysis[[#This Row],[Units Sold]]</f>
        <v>121.9225</v>
      </c>
      <c r="S117" s="9">
        <f>FinancialAnalysis[[#This Row],[Total Operating Expenses]]/FinancialAnalysis[[#This Row],[Revenue]]</f>
        <v>8.3256240369799686E-2</v>
      </c>
      <c r="T117" s="3" t="str">
        <f>IF(FinancialAnalysis[[#This Row],[Operating Profit]]&gt;0,"Profitable","Not Profitable")</f>
        <v>Profitable</v>
      </c>
    </row>
    <row r="118" spans="1:20" x14ac:dyDescent="0.3">
      <c r="A118" t="s">
        <v>17</v>
      </c>
      <c r="B118" t="s">
        <v>28</v>
      </c>
      <c r="C118" t="s">
        <v>29</v>
      </c>
      <c r="D118" s="1">
        <v>2268</v>
      </c>
      <c r="E118" s="3">
        <v>62</v>
      </c>
      <c r="F118" s="2">
        <v>140616</v>
      </c>
      <c r="G118" s="3">
        <v>82246.2984</v>
      </c>
      <c r="H118" s="3">
        <v>6510.5208000000002</v>
      </c>
      <c r="I118" s="3">
        <v>5724</v>
      </c>
      <c r="J118" s="3">
        <v>4834</v>
      </c>
      <c r="K118" s="8">
        <v>3923.1864</v>
      </c>
      <c r="L118" s="3">
        <f>SUM(FinancialAnalysis[[#This Row],[Marketing Expense]:[Other Expense]])</f>
        <v>20991.707199999997</v>
      </c>
      <c r="M118" s="3">
        <f>FinancialAnalysis[[#This Row],[Revenue]]-FinancialAnalysis[[#This Row],[Cost of Goods Sold]]</f>
        <v>58369.7016</v>
      </c>
      <c r="N118" s="11">
        <f>FinancialAnalysis[[#This Row],[Gross Profit]]-FinancialAnalysis[[#This Row],[Total Operating Expenses]]</f>
        <v>37377.994400000003</v>
      </c>
      <c r="O118" s="9">
        <f>FinancialAnalysis[[#This Row],[Gross Profit]]/FinancialAnalysis[[#This Row],[Revenue]]</f>
        <v>0.41510000000000002</v>
      </c>
      <c r="P118" s="9">
        <f>FinancialAnalysis[[#This Row],[Operating Profit]]/FinancialAnalysis[[#This Row],[Revenue]]</f>
        <v>0.2658160835182341</v>
      </c>
      <c r="Q118" s="4">
        <f>FinancialAnalysis[[#This Row],[Revenue]]/FinancialAnalysis[[#This Row],[Units Sold]]</f>
        <v>62</v>
      </c>
      <c r="R118" s="4">
        <f>FinancialAnalysis[[#This Row],[Cost of Goods Sold]]/FinancialAnalysis[[#This Row],[Units Sold]]</f>
        <v>36.263800000000003</v>
      </c>
      <c r="S118" s="9">
        <f>FinancialAnalysis[[#This Row],[Total Operating Expenses]]/FinancialAnalysis[[#This Row],[Revenue]]</f>
        <v>0.14928391648176592</v>
      </c>
      <c r="T118" s="3" t="str">
        <f>IF(FinancialAnalysis[[#This Row],[Operating Profit]]&gt;0,"Profitable","Not Profitable")</f>
        <v>Profitable</v>
      </c>
    </row>
    <row r="119" spans="1:20" x14ac:dyDescent="0.3">
      <c r="A119" t="s">
        <v>17</v>
      </c>
      <c r="B119" t="s">
        <v>28</v>
      </c>
      <c r="C119" t="s">
        <v>24</v>
      </c>
      <c r="D119" s="1">
        <v>1431</v>
      </c>
      <c r="E119" s="3">
        <v>47</v>
      </c>
      <c r="F119" s="2">
        <v>67257</v>
      </c>
      <c r="G119" s="3">
        <v>40865.353200000005</v>
      </c>
      <c r="H119" s="3">
        <v>2206.0296000000003</v>
      </c>
      <c r="I119" s="3">
        <v>7869</v>
      </c>
      <c r="J119" s="3">
        <v>6917</v>
      </c>
      <c r="K119" s="8">
        <v>1446.0255</v>
      </c>
      <c r="L119" s="3">
        <f>SUM(FinancialAnalysis[[#This Row],[Marketing Expense]:[Other Expense]])</f>
        <v>18438.055100000001</v>
      </c>
      <c r="M119" s="3">
        <f>FinancialAnalysis[[#This Row],[Revenue]]-FinancialAnalysis[[#This Row],[Cost of Goods Sold]]</f>
        <v>26391.646799999995</v>
      </c>
      <c r="N119" s="11">
        <f>FinancialAnalysis[[#This Row],[Gross Profit]]-FinancialAnalysis[[#This Row],[Total Operating Expenses]]</f>
        <v>7953.5916999999936</v>
      </c>
      <c r="O119" s="9">
        <f>FinancialAnalysis[[#This Row],[Gross Profit]]/FinancialAnalysis[[#This Row],[Revenue]]</f>
        <v>0.39239999999999992</v>
      </c>
      <c r="P119" s="9">
        <f>FinancialAnalysis[[#This Row],[Operating Profit]]/FinancialAnalysis[[#This Row],[Revenue]]</f>
        <v>0.11825671231247295</v>
      </c>
      <c r="Q119" s="4">
        <f>FinancialAnalysis[[#This Row],[Revenue]]/FinancialAnalysis[[#This Row],[Units Sold]]</f>
        <v>47</v>
      </c>
      <c r="R119" s="4">
        <f>FinancialAnalysis[[#This Row],[Cost of Goods Sold]]/FinancialAnalysis[[#This Row],[Units Sold]]</f>
        <v>28.557200000000005</v>
      </c>
      <c r="S119" s="9">
        <f>FinancialAnalysis[[#This Row],[Total Operating Expenses]]/FinancialAnalysis[[#This Row],[Revenue]]</f>
        <v>0.27414328768752699</v>
      </c>
      <c r="T119" s="3" t="str">
        <f>IF(FinancialAnalysis[[#This Row],[Operating Profit]]&gt;0,"Profitable","Not Profitable")</f>
        <v>Profitable</v>
      </c>
    </row>
    <row r="120" spans="1:20" x14ac:dyDescent="0.3">
      <c r="A120" t="s">
        <v>17</v>
      </c>
      <c r="B120" t="s">
        <v>28</v>
      </c>
      <c r="C120" t="s">
        <v>25</v>
      </c>
      <c r="D120" s="1">
        <v>1308</v>
      </c>
      <c r="E120" s="3">
        <v>345</v>
      </c>
      <c r="F120" s="2">
        <v>451260</v>
      </c>
      <c r="G120" s="3">
        <v>305187.13799999998</v>
      </c>
      <c r="H120" s="3">
        <v>11281.5</v>
      </c>
      <c r="I120" s="3">
        <v>10503</v>
      </c>
      <c r="J120" s="3">
        <v>3898</v>
      </c>
      <c r="K120" s="8">
        <v>18321.155999999999</v>
      </c>
      <c r="L120" s="3">
        <f>SUM(FinancialAnalysis[[#This Row],[Marketing Expense]:[Other Expense]])</f>
        <v>44003.656000000003</v>
      </c>
      <c r="M120" s="3">
        <f>FinancialAnalysis[[#This Row],[Revenue]]-FinancialAnalysis[[#This Row],[Cost of Goods Sold]]</f>
        <v>146072.86200000002</v>
      </c>
      <c r="N120" s="11">
        <f>FinancialAnalysis[[#This Row],[Gross Profit]]-FinancialAnalysis[[#This Row],[Total Operating Expenses]]</f>
        <v>102069.20600000002</v>
      </c>
      <c r="O120" s="9">
        <f>FinancialAnalysis[[#This Row],[Gross Profit]]/FinancialAnalysis[[#This Row],[Revenue]]</f>
        <v>0.32370000000000004</v>
      </c>
      <c r="P120" s="9">
        <f>FinancialAnalysis[[#This Row],[Operating Profit]]/FinancialAnalysis[[#This Row],[Revenue]]</f>
        <v>0.22618713380312905</v>
      </c>
      <c r="Q120" s="4">
        <f>FinancialAnalysis[[#This Row],[Revenue]]/FinancialAnalysis[[#This Row],[Units Sold]]</f>
        <v>345</v>
      </c>
      <c r="R120" s="4">
        <f>FinancialAnalysis[[#This Row],[Cost of Goods Sold]]/FinancialAnalysis[[#This Row],[Units Sold]]</f>
        <v>233.3235</v>
      </c>
      <c r="S120" s="9">
        <f>FinancialAnalysis[[#This Row],[Total Operating Expenses]]/FinancialAnalysis[[#This Row],[Revenue]]</f>
        <v>9.7512866196870995E-2</v>
      </c>
      <c r="T120" s="3" t="str">
        <f>IF(FinancialAnalysis[[#This Row],[Operating Profit]]&gt;0,"Profitable","Not Profitable")</f>
        <v>Profitable</v>
      </c>
    </row>
    <row r="121" spans="1:20" x14ac:dyDescent="0.3">
      <c r="A121" t="s">
        <v>17</v>
      </c>
      <c r="B121" t="s">
        <v>28</v>
      </c>
      <c r="C121" t="s">
        <v>26</v>
      </c>
      <c r="D121" s="1">
        <v>1016</v>
      </c>
      <c r="E121" s="3">
        <v>61</v>
      </c>
      <c r="F121" s="2">
        <v>61976</v>
      </c>
      <c r="G121" s="3">
        <v>35419.284</v>
      </c>
      <c r="H121" s="3">
        <v>2590.5967999999998</v>
      </c>
      <c r="I121" s="3">
        <v>12285</v>
      </c>
      <c r="J121" s="3">
        <v>2454</v>
      </c>
      <c r="K121" s="8">
        <v>3545.0272</v>
      </c>
      <c r="L121" s="3">
        <f>SUM(FinancialAnalysis[[#This Row],[Marketing Expense]:[Other Expense]])</f>
        <v>20874.624</v>
      </c>
      <c r="M121" s="3">
        <f>FinancialAnalysis[[#This Row],[Revenue]]-FinancialAnalysis[[#This Row],[Cost of Goods Sold]]</f>
        <v>26556.716</v>
      </c>
      <c r="N121" s="11">
        <f>FinancialAnalysis[[#This Row],[Gross Profit]]-FinancialAnalysis[[#This Row],[Total Operating Expenses]]</f>
        <v>5682.0920000000006</v>
      </c>
      <c r="O121" s="9">
        <f>FinancialAnalysis[[#This Row],[Gross Profit]]/FinancialAnalysis[[#This Row],[Revenue]]</f>
        <v>0.42849999999999999</v>
      </c>
      <c r="P121" s="9">
        <f>FinancialAnalysis[[#This Row],[Operating Profit]]/FinancialAnalysis[[#This Row],[Revenue]]</f>
        <v>9.1682135020007757E-2</v>
      </c>
      <c r="Q121" s="4">
        <f>FinancialAnalysis[[#This Row],[Revenue]]/FinancialAnalysis[[#This Row],[Units Sold]]</f>
        <v>61</v>
      </c>
      <c r="R121" s="4">
        <f>FinancialAnalysis[[#This Row],[Cost of Goods Sold]]/FinancialAnalysis[[#This Row],[Units Sold]]</f>
        <v>34.861499999999999</v>
      </c>
      <c r="S121" s="9">
        <f>FinancialAnalysis[[#This Row],[Total Operating Expenses]]/FinancialAnalysis[[#This Row],[Revenue]]</f>
        <v>0.33681786497999228</v>
      </c>
      <c r="T121" s="3" t="str">
        <f>IF(FinancialAnalysis[[#This Row],[Operating Profit]]&gt;0,"Profitable","Not Profitable")</f>
        <v>Profitable</v>
      </c>
    </row>
    <row r="122" spans="1:20" x14ac:dyDescent="0.3">
      <c r="A122" t="s">
        <v>18</v>
      </c>
      <c r="B122" t="s">
        <v>22</v>
      </c>
      <c r="C122" t="s">
        <v>23</v>
      </c>
      <c r="D122" s="1">
        <v>2049</v>
      </c>
      <c r="E122" s="3">
        <v>239</v>
      </c>
      <c r="F122" s="2">
        <v>489711</v>
      </c>
      <c r="G122" s="3">
        <v>308322.04560000001</v>
      </c>
      <c r="H122" s="3">
        <v>45836.9496</v>
      </c>
      <c r="I122" s="3">
        <v>5935</v>
      </c>
      <c r="J122" s="3">
        <v>2244</v>
      </c>
      <c r="K122" s="8">
        <v>18511.075799999999</v>
      </c>
      <c r="L122" s="3">
        <f>SUM(FinancialAnalysis[[#This Row],[Marketing Expense]:[Other Expense]])</f>
        <v>72527.025399999999</v>
      </c>
      <c r="M122" s="3">
        <f>FinancialAnalysis[[#This Row],[Revenue]]-FinancialAnalysis[[#This Row],[Cost of Goods Sold]]</f>
        <v>181388.95439999999</v>
      </c>
      <c r="N122" s="11">
        <f>FinancialAnalysis[[#This Row],[Gross Profit]]-FinancialAnalysis[[#This Row],[Total Operating Expenses]]</f>
        <v>108861.92899999999</v>
      </c>
      <c r="O122" s="9">
        <f>FinancialAnalysis[[#This Row],[Gross Profit]]/FinancialAnalysis[[#This Row],[Revenue]]</f>
        <v>0.37039999999999995</v>
      </c>
      <c r="P122" s="9">
        <f>FinancialAnalysis[[#This Row],[Operating Profit]]/FinancialAnalysis[[#This Row],[Revenue]]</f>
        <v>0.22229831267829392</v>
      </c>
      <c r="Q122" s="4">
        <f>FinancialAnalysis[[#This Row],[Revenue]]/FinancialAnalysis[[#This Row],[Units Sold]]</f>
        <v>239</v>
      </c>
      <c r="R122" s="4">
        <f>FinancialAnalysis[[#This Row],[Cost of Goods Sold]]/FinancialAnalysis[[#This Row],[Units Sold]]</f>
        <v>150.4744</v>
      </c>
      <c r="S122" s="9">
        <f>FinancialAnalysis[[#This Row],[Total Operating Expenses]]/FinancialAnalysis[[#This Row],[Revenue]]</f>
        <v>0.14810168732170606</v>
      </c>
      <c r="T122" s="3" t="str">
        <f>IF(FinancialAnalysis[[#This Row],[Operating Profit]]&gt;0,"Profitable","Not Profitable")</f>
        <v>Profitable</v>
      </c>
    </row>
    <row r="123" spans="1:20" x14ac:dyDescent="0.3">
      <c r="A123" t="s">
        <v>18</v>
      </c>
      <c r="B123" t="s">
        <v>22</v>
      </c>
      <c r="C123" t="s">
        <v>29</v>
      </c>
      <c r="D123" s="1">
        <v>920</v>
      </c>
      <c r="E123" s="3">
        <v>31</v>
      </c>
      <c r="F123" s="2">
        <v>28520</v>
      </c>
      <c r="G123" s="3">
        <v>16205.064</v>
      </c>
      <c r="H123" s="3">
        <v>2903.3360000000002</v>
      </c>
      <c r="I123" s="3">
        <v>4137</v>
      </c>
      <c r="J123" s="3">
        <v>2936</v>
      </c>
      <c r="K123" s="8">
        <v>715.85199999999998</v>
      </c>
      <c r="L123" s="3">
        <f>SUM(FinancialAnalysis[[#This Row],[Marketing Expense]:[Other Expense]])</f>
        <v>10692.188</v>
      </c>
      <c r="M123" s="3">
        <f>FinancialAnalysis[[#This Row],[Revenue]]-FinancialAnalysis[[#This Row],[Cost of Goods Sold]]</f>
        <v>12314.936</v>
      </c>
      <c r="N123" s="11">
        <f>FinancialAnalysis[[#This Row],[Gross Profit]]-FinancialAnalysis[[#This Row],[Total Operating Expenses]]</f>
        <v>1622.7479999999996</v>
      </c>
      <c r="O123" s="9">
        <f>FinancialAnalysis[[#This Row],[Gross Profit]]/FinancialAnalysis[[#This Row],[Revenue]]</f>
        <v>0.43179999999999996</v>
      </c>
      <c r="P123" s="9">
        <f>FinancialAnalysis[[#This Row],[Operating Profit]]/FinancialAnalysis[[#This Row],[Revenue]]</f>
        <v>5.6898597475455809E-2</v>
      </c>
      <c r="Q123" s="4">
        <f>FinancialAnalysis[[#This Row],[Revenue]]/FinancialAnalysis[[#This Row],[Units Sold]]</f>
        <v>31</v>
      </c>
      <c r="R123" s="4">
        <f>FinancialAnalysis[[#This Row],[Cost of Goods Sold]]/FinancialAnalysis[[#This Row],[Units Sold]]</f>
        <v>17.6142</v>
      </c>
      <c r="S123" s="9">
        <f>FinancialAnalysis[[#This Row],[Total Operating Expenses]]/FinancialAnalysis[[#This Row],[Revenue]]</f>
        <v>0.37490140252454418</v>
      </c>
      <c r="T123" s="3" t="str">
        <f>IF(FinancialAnalysis[[#This Row],[Operating Profit]]&gt;0,"Profitable","Not Profitable")</f>
        <v>Profitable</v>
      </c>
    </row>
    <row r="124" spans="1:20" x14ac:dyDescent="0.3">
      <c r="A124" t="s">
        <v>18</v>
      </c>
      <c r="B124" t="s">
        <v>22</v>
      </c>
      <c r="C124" t="s">
        <v>24</v>
      </c>
      <c r="D124" s="1">
        <v>1002</v>
      </c>
      <c r="E124" s="3">
        <v>42</v>
      </c>
      <c r="F124" s="2">
        <v>42084</v>
      </c>
      <c r="G124" s="3">
        <v>23352.411599999999</v>
      </c>
      <c r="H124" s="3">
        <v>3257.3015999999998</v>
      </c>
      <c r="I124" s="3">
        <v>8841</v>
      </c>
      <c r="J124" s="3">
        <v>2908</v>
      </c>
      <c r="K124" s="8">
        <v>1973.7396000000001</v>
      </c>
      <c r="L124" s="3">
        <f>SUM(FinancialAnalysis[[#This Row],[Marketing Expense]:[Other Expense]])</f>
        <v>16980.0412</v>
      </c>
      <c r="M124" s="3">
        <f>FinancialAnalysis[[#This Row],[Revenue]]-FinancialAnalysis[[#This Row],[Cost of Goods Sold]]</f>
        <v>18731.588400000001</v>
      </c>
      <c r="N124" s="11">
        <f>FinancialAnalysis[[#This Row],[Gross Profit]]-FinancialAnalysis[[#This Row],[Total Operating Expenses]]</f>
        <v>1751.5472000000009</v>
      </c>
      <c r="O124" s="9">
        <f>FinancialAnalysis[[#This Row],[Gross Profit]]/FinancialAnalysis[[#This Row],[Revenue]]</f>
        <v>0.4451</v>
      </c>
      <c r="P124" s="9">
        <f>FinancialAnalysis[[#This Row],[Operating Profit]]/FinancialAnalysis[[#This Row],[Revenue]]</f>
        <v>4.1620264233437905E-2</v>
      </c>
      <c r="Q124" s="4">
        <f>FinancialAnalysis[[#This Row],[Revenue]]/FinancialAnalysis[[#This Row],[Units Sold]]</f>
        <v>42</v>
      </c>
      <c r="R124" s="4">
        <f>FinancialAnalysis[[#This Row],[Cost of Goods Sold]]/FinancialAnalysis[[#This Row],[Units Sold]]</f>
        <v>23.305799999999998</v>
      </c>
      <c r="S124" s="9">
        <f>FinancialAnalysis[[#This Row],[Total Operating Expenses]]/FinancialAnalysis[[#This Row],[Revenue]]</f>
        <v>0.4034797357665621</v>
      </c>
      <c r="T124" s="3" t="str">
        <f>IF(FinancialAnalysis[[#This Row],[Operating Profit]]&gt;0,"Profitable","Not Profitable")</f>
        <v>Profitable</v>
      </c>
    </row>
    <row r="125" spans="1:20" x14ac:dyDescent="0.3">
      <c r="A125" t="s">
        <v>18</v>
      </c>
      <c r="B125" t="s">
        <v>22</v>
      </c>
      <c r="C125" t="s">
        <v>25</v>
      </c>
      <c r="D125" s="1">
        <v>1905</v>
      </c>
      <c r="E125" s="3">
        <v>418</v>
      </c>
      <c r="F125" s="2">
        <v>796290</v>
      </c>
      <c r="G125" s="3">
        <v>520056.99900000001</v>
      </c>
      <c r="H125" s="3">
        <v>94439.993999999992</v>
      </c>
      <c r="I125" s="3">
        <v>9552</v>
      </c>
      <c r="J125" s="3">
        <v>3023</v>
      </c>
      <c r="K125" s="8">
        <v>37346.000999999997</v>
      </c>
      <c r="L125" s="3">
        <f>SUM(FinancialAnalysis[[#This Row],[Marketing Expense]:[Other Expense]])</f>
        <v>144360.995</v>
      </c>
      <c r="M125" s="3">
        <f>FinancialAnalysis[[#This Row],[Revenue]]-FinancialAnalysis[[#This Row],[Cost of Goods Sold]]</f>
        <v>276233.00099999999</v>
      </c>
      <c r="N125" s="11">
        <f>FinancialAnalysis[[#This Row],[Gross Profit]]-FinancialAnalysis[[#This Row],[Total Operating Expenses]]</f>
        <v>131872.00599999999</v>
      </c>
      <c r="O125" s="9">
        <f>FinancialAnalysis[[#This Row],[Gross Profit]]/FinancialAnalysis[[#This Row],[Revenue]]</f>
        <v>0.34689999999999999</v>
      </c>
      <c r="P125" s="9">
        <f>FinancialAnalysis[[#This Row],[Operating Profit]]/FinancialAnalysis[[#This Row],[Revenue]]</f>
        <v>0.16560801466802294</v>
      </c>
      <c r="Q125" s="4">
        <f>FinancialAnalysis[[#This Row],[Revenue]]/FinancialAnalysis[[#This Row],[Units Sold]]</f>
        <v>418</v>
      </c>
      <c r="R125" s="4">
        <f>FinancialAnalysis[[#This Row],[Cost of Goods Sold]]/FinancialAnalysis[[#This Row],[Units Sold]]</f>
        <v>272.99580000000003</v>
      </c>
      <c r="S125" s="9">
        <f>FinancialAnalysis[[#This Row],[Total Operating Expenses]]/FinancialAnalysis[[#This Row],[Revenue]]</f>
        <v>0.18129198533197705</v>
      </c>
      <c r="T125" s="3" t="str">
        <f>IF(FinancialAnalysis[[#This Row],[Operating Profit]]&gt;0,"Profitable","Not Profitable")</f>
        <v>Profitable</v>
      </c>
    </row>
    <row r="126" spans="1:20" x14ac:dyDescent="0.3">
      <c r="A126" t="s">
        <v>18</v>
      </c>
      <c r="B126" t="s">
        <v>22</v>
      </c>
      <c r="C126" t="s">
        <v>26</v>
      </c>
      <c r="D126" s="1">
        <v>1726</v>
      </c>
      <c r="E126" s="3">
        <v>16</v>
      </c>
      <c r="F126" s="2">
        <v>27616</v>
      </c>
      <c r="G126" s="3">
        <v>17710.140800000001</v>
      </c>
      <c r="H126" s="3">
        <v>3228.3104000000003</v>
      </c>
      <c r="I126" s="3">
        <v>5992</v>
      </c>
      <c r="J126" s="3">
        <v>2153</v>
      </c>
      <c r="K126" s="8">
        <v>1607.2511999999999</v>
      </c>
      <c r="L126" s="3">
        <f>SUM(FinancialAnalysis[[#This Row],[Marketing Expense]:[Other Expense]])</f>
        <v>12980.561600000001</v>
      </c>
      <c r="M126" s="3">
        <f>FinancialAnalysis[[#This Row],[Revenue]]-FinancialAnalysis[[#This Row],[Cost of Goods Sold]]</f>
        <v>9905.859199999999</v>
      </c>
      <c r="N126" s="11">
        <f>FinancialAnalysis[[#This Row],[Gross Profit]]-FinancialAnalysis[[#This Row],[Total Operating Expenses]]</f>
        <v>-3074.7024000000019</v>
      </c>
      <c r="O126" s="9">
        <f>FinancialAnalysis[[#This Row],[Gross Profit]]/FinancialAnalysis[[#This Row],[Revenue]]</f>
        <v>0.35869999999999996</v>
      </c>
      <c r="P126" s="9">
        <f>FinancialAnalysis[[#This Row],[Operating Profit]]/FinancialAnalysis[[#This Row],[Revenue]]</f>
        <v>-0.11133771726535349</v>
      </c>
      <c r="Q126" s="4">
        <f>FinancialAnalysis[[#This Row],[Revenue]]/FinancialAnalysis[[#This Row],[Units Sold]]</f>
        <v>16</v>
      </c>
      <c r="R126" s="4">
        <f>FinancialAnalysis[[#This Row],[Cost of Goods Sold]]/FinancialAnalysis[[#This Row],[Units Sold]]</f>
        <v>10.260800000000001</v>
      </c>
      <c r="S126" s="9">
        <f>FinancialAnalysis[[#This Row],[Total Operating Expenses]]/FinancialAnalysis[[#This Row],[Revenue]]</f>
        <v>0.47003771726535343</v>
      </c>
      <c r="T126" s="3" t="str">
        <f>IF(FinancialAnalysis[[#This Row],[Operating Profit]]&gt;0,"Profitable","Not Profitable")</f>
        <v>Not Profitable</v>
      </c>
    </row>
    <row r="127" spans="1:20" x14ac:dyDescent="0.3">
      <c r="A127" t="s">
        <v>18</v>
      </c>
      <c r="B127" t="s">
        <v>27</v>
      </c>
      <c r="C127" t="s">
        <v>23</v>
      </c>
      <c r="D127" s="1">
        <v>917</v>
      </c>
      <c r="E127" s="3">
        <v>196</v>
      </c>
      <c r="F127" s="2">
        <v>179732</v>
      </c>
      <c r="G127" s="3">
        <v>119018.5304</v>
      </c>
      <c r="H127" s="3">
        <v>7404.9584000000004</v>
      </c>
      <c r="I127" s="3">
        <v>9739</v>
      </c>
      <c r="J127" s="3">
        <v>8779</v>
      </c>
      <c r="K127" s="8">
        <v>9076.4660000000003</v>
      </c>
      <c r="L127" s="3">
        <f>SUM(FinancialAnalysis[[#This Row],[Marketing Expense]:[Other Expense]])</f>
        <v>34999.424400000004</v>
      </c>
      <c r="M127" s="3">
        <f>FinancialAnalysis[[#This Row],[Revenue]]-FinancialAnalysis[[#This Row],[Cost of Goods Sold]]</f>
        <v>60713.469599999997</v>
      </c>
      <c r="N127" s="11">
        <f>FinancialAnalysis[[#This Row],[Gross Profit]]-FinancialAnalysis[[#This Row],[Total Operating Expenses]]</f>
        <v>25714.045199999993</v>
      </c>
      <c r="O127" s="9">
        <f>FinancialAnalysis[[#This Row],[Gross Profit]]/FinancialAnalysis[[#This Row],[Revenue]]</f>
        <v>0.33779999999999999</v>
      </c>
      <c r="P127" s="9">
        <f>FinancialAnalysis[[#This Row],[Operating Profit]]/FinancialAnalysis[[#This Row],[Revenue]]</f>
        <v>0.14306882024347359</v>
      </c>
      <c r="Q127" s="4">
        <f>FinancialAnalysis[[#This Row],[Revenue]]/FinancialAnalysis[[#This Row],[Units Sold]]</f>
        <v>196</v>
      </c>
      <c r="R127" s="4">
        <f>FinancialAnalysis[[#This Row],[Cost of Goods Sold]]/FinancialAnalysis[[#This Row],[Units Sold]]</f>
        <v>129.7912</v>
      </c>
      <c r="S127" s="9">
        <f>FinancialAnalysis[[#This Row],[Total Operating Expenses]]/FinancialAnalysis[[#This Row],[Revenue]]</f>
        <v>0.1947311797565264</v>
      </c>
      <c r="T127" s="3" t="str">
        <f>IF(FinancialAnalysis[[#This Row],[Operating Profit]]&gt;0,"Profitable","Not Profitable")</f>
        <v>Profitable</v>
      </c>
    </row>
    <row r="128" spans="1:20" x14ac:dyDescent="0.3">
      <c r="A128" t="s">
        <v>18</v>
      </c>
      <c r="B128" t="s">
        <v>27</v>
      </c>
      <c r="C128" t="s">
        <v>29</v>
      </c>
      <c r="D128" s="1">
        <v>638</v>
      </c>
      <c r="E128" s="3">
        <v>62</v>
      </c>
      <c r="F128" s="2">
        <v>39556</v>
      </c>
      <c r="G128" s="3">
        <v>21554.064400000003</v>
      </c>
      <c r="H128" s="3">
        <v>2377.3155999999999</v>
      </c>
      <c r="I128" s="3">
        <v>17718</v>
      </c>
      <c r="J128" s="3">
        <v>7524</v>
      </c>
      <c r="K128" s="8">
        <v>1075.9232</v>
      </c>
      <c r="L128" s="3">
        <f>SUM(FinancialAnalysis[[#This Row],[Marketing Expense]:[Other Expense]])</f>
        <v>28695.238800000003</v>
      </c>
      <c r="M128" s="3">
        <f>FinancialAnalysis[[#This Row],[Revenue]]-FinancialAnalysis[[#This Row],[Cost of Goods Sold]]</f>
        <v>18001.935599999997</v>
      </c>
      <c r="N128" s="11">
        <f>FinancialAnalysis[[#This Row],[Gross Profit]]-FinancialAnalysis[[#This Row],[Total Operating Expenses]]</f>
        <v>-10693.303200000006</v>
      </c>
      <c r="O128" s="9">
        <f>FinancialAnalysis[[#This Row],[Gross Profit]]/FinancialAnalysis[[#This Row],[Revenue]]</f>
        <v>0.45509999999999995</v>
      </c>
      <c r="P128" s="9">
        <f>FinancialAnalysis[[#This Row],[Operating Profit]]/FinancialAnalysis[[#This Row],[Revenue]]</f>
        <v>-0.27033327940135521</v>
      </c>
      <c r="Q128" s="4">
        <f>FinancialAnalysis[[#This Row],[Revenue]]/FinancialAnalysis[[#This Row],[Units Sold]]</f>
        <v>62</v>
      </c>
      <c r="R128" s="4">
        <f>FinancialAnalysis[[#This Row],[Cost of Goods Sold]]/FinancialAnalysis[[#This Row],[Units Sold]]</f>
        <v>33.783800000000006</v>
      </c>
      <c r="S128" s="9">
        <f>FinancialAnalysis[[#This Row],[Total Operating Expenses]]/FinancialAnalysis[[#This Row],[Revenue]]</f>
        <v>0.72543327940135516</v>
      </c>
      <c r="T128" s="3" t="str">
        <f>IF(FinancialAnalysis[[#This Row],[Operating Profit]]&gt;0,"Profitable","Not Profitable")</f>
        <v>Not Profitable</v>
      </c>
    </row>
    <row r="129" spans="1:20" x14ac:dyDescent="0.3">
      <c r="A129" t="s">
        <v>18</v>
      </c>
      <c r="B129" t="s">
        <v>27</v>
      </c>
      <c r="C129" t="s">
        <v>24</v>
      </c>
      <c r="D129" s="1">
        <v>738</v>
      </c>
      <c r="E129" s="3">
        <v>41</v>
      </c>
      <c r="F129" s="2">
        <v>30258</v>
      </c>
      <c r="G129" s="3">
        <v>18215.315999999999</v>
      </c>
      <c r="H129" s="3">
        <v>1558.2869999999998</v>
      </c>
      <c r="I129" s="3">
        <v>12476</v>
      </c>
      <c r="J129" s="3">
        <v>13680</v>
      </c>
      <c r="K129" s="8">
        <v>1624.8545999999999</v>
      </c>
      <c r="L129" s="3">
        <f>SUM(FinancialAnalysis[[#This Row],[Marketing Expense]:[Other Expense]])</f>
        <v>29339.141599999999</v>
      </c>
      <c r="M129" s="3">
        <f>FinancialAnalysis[[#This Row],[Revenue]]-FinancialAnalysis[[#This Row],[Cost of Goods Sold]]</f>
        <v>12042.684000000001</v>
      </c>
      <c r="N129" s="11">
        <f>FinancialAnalysis[[#This Row],[Gross Profit]]-FinancialAnalysis[[#This Row],[Total Operating Expenses]]</f>
        <v>-17296.457599999998</v>
      </c>
      <c r="O129" s="9">
        <f>FinancialAnalysis[[#This Row],[Gross Profit]]/FinancialAnalysis[[#This Row],[Revenue]]</f>
        <v>0.39800000000000002</v>
      </c>
      <c r="P129" s="9">
        <f>FinancialAnalysis[[#This Row],[Operating Profit]]/FinancialAnalysis[[#This Row],[Revenue]]</f>
        <v>-0.57163254676449193</v>
      </c>
      <c r="Q129" s="4">
        <f>FinancialAnalysis[[#This Row],[Revenue]]/FinancialAnalysis[[#This Row],[Units Sold]]</f>
        <v>41</v>
      </c>
      <c r="R129" s="4">
        <f>FinancialAnalysis[[#This Row],[Cost of Goods Sold]]/FinancialAnalysis[[#This Row],[Units Sold]]</f>
        <v>24.681999999999999</v>
      </c>
      <c r="S129" s="9">
        <f>FinancialAnalysis[[#This Row],[Total Operating Expenses]]/FinancialAnalysis[[#This Row],[Revenue]]</f>
        <v>0.96963254676449195</v>
      </c>
      <c r="T129" s="3" t="str">
        <f>IF(FinancialAnalysis[[#This Row],[Operating Profit]]&gt;0,"Profitable","Not Profitable")</f>
        <v>Not Profitable</v>
      </c>
    </row>
    <row r="130" spans="1:20" x14ac:dyDescent="0.3">
      <c r="A130" t="s">
        <v>18</v>
      </c>
      <c r="B130" t="s">
        <v>27</v>
      </c>
      <c r="C130" t="s">
        <v>25</v>
      </c>
      <c r="D130" s="1">
        <v>1378</v>
      </c>
      <c r="E130" s="3">
        <v>409</v>
      </c>
      <c r="F130" s="2">
        <v>563602</v>
      </c>
      <c r="G130" s="3">
        <v>425519.51</v>
      </c>
      <c r="H130" s="3">
        <v>24573.047200000001</v>
      </c>
      <c r="I130" s="3">
        <v>11607</v>
      </c>
      <c r="J130" s="3">
        <v>6590</v>
      </c>
      <c r="K130" s="8">
        <v>29250.943800000001</v>
      </c>
      <c r="L130" s="3">
        <f>SUM(FinancialAnalysis[[#This Row],[Marketing Expense]:[Other Expense]])</f>
        <v>72020.991000000009</v>
      </c>
      <c r="M130" s="3">
        <f>FinancialAnalysis[[#This Row],[Revenue]]-FinancialAnalysis[[#This Row],[Cost of Goods Sold]]</f>
        <v>138082.49</v>
      </c>
      <c r="N130" s="11">
        <f>FinancialAnalysis[[#This Row],[Gross Profit]]-FinancialAnalysis[[#This Row],[Total Operating Expenses]]</f>
        <v>66061.498999999982</v>
      </c>
      <c r="O130" s="9">
        <f>FinancialAnalysis[[#This Row],[Gross Profit]]/FinancialAnalysis[[#This Row],[Revenue]]</f>
        <v>0.245</v>
      </c>
      <c r="P130" s="9">
        <f>FinancialAnalysis[[#This Row],[Operating Profit]]/FinancialAnalysis[[#This Row],[Revenue]]</f>
        <v>0.11721303153643881</v>
      </c>
      <c r="Q130" s="4">
        <f>FinancialAnalysis[[#This Row],[Revenue]]/FinancialAnalysis[[#This Row],[Units Sold]]</f>
        <v>409</v>
      </c>
      <c r="R130" s="4">
        <f>FinancialAnalysis[[#This Row],[Cost of Goods Sold]]/FinancialAnalysis[[#This Row],[Units Sold]]</f>
        <v>308.79500000000002</v>
      </c>
      <c r="S130" s="9">
        <f>FinancialAnalysis[[#This Row],[Total Operating Expenses]]/FinancialAnalysis[[#This Row],[Revenue]]</f>
        <v>0.12778696846356119</v>
      </c>
      <c r="T130" s="3" t="str">
        <f>IF(FinancialAnalysis[[#This Row],[Operating Profit]]&gt;0,"Profitable","Not Profitable")</f>
        <v>Profitable</v>
      </c>
    </row>
    <row r="131" spans="1:20" x14ac:dyDescent="0.3">
      <c r="A131" t="s">
        <v>18</v>
      </c>
      <c r="B131" t="s">
        <v>27</v>
      </c>
      <c r="C131" t="s">
        <v>26</v>
      </c>
      <c r="D131" s="1">
        <v>712</v>
      </c>
      <c r="E131" s="3">
        <v>33</v>
      </c>
      <c r="F131" s="2">
        <v>23496</v>
      </c>
      <c r="G131" s="3">
        <v>14966.952000000001</v>
      </c>
      <c r="H131" s="3">
        <v>953.93759999999997</v>
      </c>
      <c r="I131" s="3">
        <v>13880</v>
      </c>
      <c r="J131" s="3">
        <v>14756</v>
      </c>
      <c r="K131" s="8">
        <v>474.61919999999998</v>
      </c>
      <c r="L131" s="3">
        <f>SUM(FinancialAnalysis[[#This Row],[Marketing Expense]:[Other Expense]])</f>
        <v>30064.556799999998</v>
      </c>
      <c r="M131" s="3">
        <f>FinancialAnalysis[[#This Row],[Revenue]]-FinancialAnalysis[[#This Row],[Cost of Goods Sold]]</f>
        <v>8529.0479999999989</v>
      </c>
      <c r="N131" s="11">
        <f>FinancialAnalysis[[#This Row],[Gross Profit]]-FinancialAnalysis[[#This Row],[Total Operating Expenses]]</f>
        <v>-21535.5088</v>
      </c>
      <c r="O131" s="9">
        <f>FinancialAnalysis[[#This Row],[Gross Profit]]/FinancialAnalysis[[#This Row],[Revenue]]</f>
        <v>0.36299999999999993</v>
      </c>
      <c r="P131" s="9">
        <f>FinancialAnalysis[[#This Row],[Operating Profit]]/FinancialAnalysis[[#This Row],[Revenue]]</f>
        <v>-0.91656064010895466</v>
      </c>
      <c r="Q131" s="4">
        <f>FinancialAnalysis[[#This Row],[Revenue]]/FinancialAnalysis[[#This Row],[Units Sold]]</f>
        <v>33</v>
      </c>
      <c r="R131" s="4">
        <f>FinancialAnalysis[[#This Row],[Cost of Goods Sold]]/FinancialAnalysis[[#This Row],[Units Sold]]</f>
        <v>21.021000000000001</v>
      </c>
      <c r="S131" s="9">
        <f>FinancialAnalysis[[#This Row],[Total Operating Expenses]]/FinancialAnalysis[[#This Row],[Revenue]]</f>
        <v>1.2795606401089548</v>
      </c>
      <c r="T131" s="3" t="str">
        <f>IF(FinancialAnalysis[[#This Row],[Operating Profit]]&gt;0,"Profitable","Not Profitable")</f>
        <v>Not Profitable</v>
      </c>
    </row>
    <row r="132" spans="1:20" x14ac:dyDescent="0.3">
      <c r="A132" t="s">
        <v>18</v>
      </c>
      <c r="B132" t="s">
        <v>28</v>
      </c>
      <c r="C132" t="s">
        <v>23</v>
      </c>
      <c r="D132" s="1">
        <v>2738</v>
      </c>
      <c r="E132" s="3">
        <v>83</v>
      </c>
      <c r="F132" s="2">
        <v>227254</v>
      </c>
      <c r="G132" s="3">
        <v>153669.15480000002</v>
      </c>
      <c r="H132" s="3">
        <v>11021.819</v>
      </c>
      <c r="I132" s="3">
        <v>5532</v>
      </c>
      <c r="J132" s="3">
        <v>3014</v>
      </c>
      <c r="K132" s="8">
        <v>4590.5308000000005</v>
      </c>
      <c r="L132" s="3">
        <f>SUM(FinancialAnalysis[[#This Row],[Marketing Expense]:[Other Expense]])</f>
        <v>24158.3498</v>
      </c>
      <c r="M132" s="3">
        <f>FinancialAnalysis[[#This Row],[Revenue]]-FinancialAnalysis[[#This Row],[Cost of Goods Sold]]</f>
        <v>73584.845199999982</v>
      </c>
      <c r="N132" s="11">
        <f>FinancialAnalysis[[#This Row],[Gross Profit]]-FinancialAnalysis[[#This Row],[Total Operating Expenses]]</f>
        <v>49426.495399999985</v>
      </c>
      <c r="O132" s="9">
        <f>FinancialAnalysis[[#This Row],[Gross Profit]]/FinancialAnalysis[[#This Row],[Revenue]]</f>
        <v>0.32379999999999992</v>
      </c>
      <c r="P132" s="9">
        <f>FinancialAnalysis[[#This Row],[Operating Profit]]/FinancialAnalysis[[#This Row],[Revenue]]</f>
        <v>0.21749450130690762</v>
      </c>
      <c r="Q132" s="4">
        <f>FinancialAnalysis[[#This Row],[Revenue]]/FinancialAnalysis[[#This Row],[Units Sold]]</f>
        <v>83</v>
      </c>
      <c r="R132" s="4">
        <f>FinancialAnalysis[[#This Row],[Cost of Goods Sold]]/FinancialAnalysis[[#This Row],[Units Sold]]</f>
        <v>56.124600000000008</v>
      </c>
      <c r="S132" s="9">
        <f>FinancialAnalysis[[#This Row],[Total Operating Expenses]]/FinancialAnalysis[[#This Row],[Revenue]]</f>
        <v>0.1063054986930923</v>
      </c>
      <c r="T132" s="3" t="str">
        <f>IF(FinancialAnalysis[[#This Row],[Operating Profit]]&gt;0,"Profitable","Not Profitable")</f>
        <v>Profitable</v>
      </c>
    </row>
    <row r="133" spans="1:20" x14ac:dyDescent="0.3">
      <c r="A133" t="s">
        <v>18</v>
      </c>
      <c r="B133" t="s">
        <v>28</v>
      </c>
      <c r="C133" t="s">
        <v>29</v>
      </c>
      <c r="D133" s="1">
        <v>3373</v>
      </c>
      <c r="E133" s="3">
        <v>47</v>
      </c>
      <c r="F133" s="2">
        <v>158531</v>
      </c>
      <c r="G133" s="3">
        <v>87683.496100000004</v>
      </c>
      <c r="H133" s="3">
        <v>5960.7656000000006</v>
      </c>
      <c r="I133" s="3">
        <v>6671</v>
      </c>
      <c r="J133" s="3">
        <v>3901</v>
      </c>
      <c r="K133" s="8">
        <v>4962.0203000000001</v>
      </c>
      <c r="L133" s="3">
        <f>SUM(FinancialAnalysis[[#This Row],[Marketing Expense]:[Other Expense]])</f>
        <v>21494.785899999999</v>
      </c>
      <c r="M133" s="3">
        <f>FinancialAnalysis[[#This Row],[Revenue]]-FinancialAnalysis[[#This Row],[Cost of Goods Sold]]</f>
        <v>70847.503899999996</v>
      </c>
      <c r="N133" s="11">
        <f>FinancialAnalysis[[#This Row],[Gross Profit]]-FinancialAnalysis[[#This Row],[Total Operating Expenses]]</f>
        <v>49352.717999999993</v>
      </c>
      <c r="O133" s="9">
        <f>FinancialAnalysis[[#This Row],[Gross Profit]]/FinancialAnalysis[[#This Row],[Revenue]]</f>
        <v>0.44689999999999996</v>
      </c>
      <c r="P133" s="9">
        <f>FinancialAnalysis[[#This Row],[Operating Profit]]/FinancialAnalysis[[#This Row],[Revenue]]</f>
        <v>0.31131272747916805</v>
      </c>
      <c r="Q133" s="4">
        <f>FinancialAnalysis[[#This Row],[Revenue]]/FinancialAnalysis[[#This Row],[Units Sold]]</f>
        <v>47</v>
      </c>
      <c r="R133" s="4">
        <f>FinancialAnalysis[[#This Row],[Cost of Goods Sold]]/FinancialAnalysis[[#This Row],[Units Sold]]</f>
        <v>25.995700000000003</v>
      </c>
      <c r="S133" s="9">
        <f>FinancialAnalysis[[#This Row],[Total Operating Expenses]]/FinancialAnalysis[[#This Row],[Revenue]]</f>
        <v>0.13558727252083189</v>
      </c>
      <c r="T133" s="3" t="str">
        <f>IF(FinancialAnalysis[[#This Row],[Operating Profit]]&gt;0,"Profitable","Not Profitable")</f>
        <v>Profitable</v>
      </c>
    </row>
    <row r="134" spans="1:20" x14ac:dyDescent="0.3">
      <c r="A134" t="s">
        <v>18</v>
      </c>
      <c r="B134" t="s">
        <v>28</v>
      </c>
      <c r="C134" t="s">
        <v>24</v>
      </c>
      <c r="D134" s="1">
        <v>2673</v>
      </c>
      <c r="E134" s="3">
        <v>71</v>
      </c>
      <c r="F134" s="2">
        <v>189783</v>
      </c>
      <c r="G134" s="3">
        <v>110662.46729999999</v>
      </c>
      <c r="H134" s="3">
        <v>6167.9475000000002</v>
      </c>
      <c r="I134" s="3">
        <v>5630</v>
      </c>
      <c r="J134" s="3">
        <v>5014</v>
      </c>
      <c r="K134" s="8">
        <v>7800.0812999999998</v>
      </c>
      <c r="L134" s="3">
        <f>SUM(FinancialAnalysis[[#This Row],[Marketing Expense]:[Other Expense]])</f>
        <v>24612.0288</v>
      </c>
      <c r="M134" s="3">
        <f>FinancialAnalysis[[#This Row],[Revenue]]-FinancialAnalysis[[#This Row],[Cost of Goods Sold]]</f>
        <v>79120.532700000011</v>
      </c>
      <c r="N134" s="11">
        <f>FinancialAnalysis[[#This Row],[Gross Profit]]-FinancialAnalysis[[#This Row],[Total Operating Expenses]]</f>
        <v>54508.503900000011</v>
      </c>
      <c r="O134" s="9">
        <f>FinancialAnalysis[[#This Row],[Gross Profit]]/FinancialAnalysis[[#This Row],[Revenue]]</f>
        <v>0.41690000000000005</v>
      </c>
      <c r="P134" s="9">
        <f>FinancialAnalysis[[#This Row],[Operating Profit]]/FinancialAnalysis[[#This Row],[Revenue]]</f>
        <v>0.28721489227169983</v>
      </c>
      <c r="Q134" s="4">
        <f>FinancialAnalysis[[#This Row],[Revenue]]/FinancialAnalysis[[#This Row],[Units Sold]]</f>
        <v>71</v>
      </c>
      <c r="R134" s="4">
        <f>FinancialAnalysis[[#This Row],[Cost of Goods Sold]]/FinancialAnalysis[[#This Row],[Units Sold]]</f>
        <v>41.400099999999995</v>
      </c>
      <c r="S134" s="9">
        <f>FinancialAnalysis[[#This Row],[Total Operating Expenses]]/FinancialAnalysis[[#This Row],[Revenue]]</f>
        <v>0.12968510772830022</v>
      </c>
      <c r="T134" s="3" t="str">
        <f>IF(FinancialAnalysis[[#This Row],[Operating Profit]]&gt;0,"Profitable","Not Profitable")</f>
        <v>Profitable</v>
      </c>
    </row>
    <row r="135" spans="1:20" x14ac:dyDescent="0.3">
      <c r="A135" t="s">
        <v>18</v>
      </c>
      <c r="B135" t="s">
        <v>28</v>
      </c>
      <c r="C135" t="s">
        <v>25</v>
      </c>
      <c r="D135" s="1">
        <v>3207</v>
      </c>
      <c r="E135" s="3">
        <v>270</v>
      </c>
      <c r="F135" s="2">
        <v>865890</v>
      </c>
      <c r="G135" s="3">
        <v>594693.25199999998</v>
      </c>
      <c r="H135" s="3">
        <v>26756.001</v>
      </c>
      <c r="I135" s="3">
        <v>5617</v>
      </c>
      <c r="J135" s="3">
        <v>5199</v>
      </c>
      <c r="K135" s="8">
        <v>21041.127</v>
      </c>
      <c r="L135" s="3">
        <f>SUM(FinancialAnalysis[[#This Row],[Marketing Expense]:[Other Expense]])</f>
        <v>58613.128000000004</v>
      </c>
      <c r="M135" s="3">
        <f>FinancialAnalysis[[#This Row],[Revenue]]-FinancialAnalysis[[#This Row],[Cost of Goods Sold]]</f>
        <v>271196.74800000002</v>
      </c>
      <c r="N135" s="11">
        <f>FinancialAnalysis[[#This Row],[Gross Profit]]-FinancialAnalysis[[#This Row],[Total Operating Expenses]]</f>
        <v>212583.62000000002</v>
      </c>
      <c r="O135" s="9">
        <f>FinancialAnalysis[[#This Row],[Gross Profit]]/FinancialAnalysis[[#This Row],[Revenue]]</f>
        <v>0.31320000000000003</v>
      </c>
      <c r="P135" s="9">
        <f>FinancialAnalysis[[#This Row],[Operating Profit]]/FinancialAnalysis[[#This Row],[Revenue]]</f>
        <v>0.24550880596842559</v>
      </c>
      <c r="Q135" s="4">
        <f>FinancialAnalysis[[#This Row],[Revenue]]/FinancialAnalysis[[#This Row],[Units Sold]]</f>
        <v>270</v>
      </c>
      <c r="R135" s="4">
        <f>FinancialAnalysis[[#This Row],[Cost of Goods Sold]]/FinancialAnalysis[[#This Row],[Units Sold]]</f>
        <v>185.43600000000001</v>
      </c>
      <c r="S135" s="9">
        <f>FinancialAnalysis[[#This Row],[Total Operating Expenses]]/FinancialAnalysis[[#This Row],[Revenue]]</f>
        <v>6.7691194031574448E-2</v>
      </c>
      <c r="T135" s="3" t="str">
        <f>IF(FinancialAnalysis[[#This Row],[Operating Profit]]&gt;0,"Profitable","Not Profitable")</f>
        <v>Profitable</v>
      </c>
    </row>
    <row r="136" spans="1:20" x14ac:dyDescent="0.3">
      <c r="A136" t="s">
        <v>18</v>
      </c>
      <c r="B136" t="s">
        <v>28</v>
      </c>
      <c r="C136" t="s">
        <v>26</v>
      </c>
      <c r="D136" s="1">
        <v>3106</v>
      </c>
      <c r="E136" s="3">
        <v>40</v>
      </c>
      <c r="F136" s="2">
        <v>124240</v>
      </c>
      <c r="G136" s="3">
        <v>61995.76</v>
      </c>
      <c r="H136" s="3">
        <v>4870.2079999999996</v>
      </c>
      <c r="I136" s="3">
        <v>12685</v>
      </c>
      <c r="J136" s="3">
        <v>4812</v>
      </c>
      <c r="K136" s="8">
        <v>4932.3280000000004</v>
      </c>
      <c r="L136" s="3">
        <f>SUM(FinancialAnalysis[[#This Row],[Marketing Expense]:[Other Expense]])</f>
        <v>27299.536</v>
      </c>
      <c r="M136" s="3">
        <f>FinancialAnalysis[[#This Row],[Revenue]]-FinancialAnalysis[[#This Row],[Cost of Goods Sold]]</f>
        <v>62244.24</v>
      </c>
      <c r="N136" s="11">
        <f>FinancialAnalysis[[#This Row],[Gross Profit]]-FinancialAnalysis[[#This Row],[Total Operating Expenses]]</f>
        <v>34944.703999999998</v>
      </c>
      <c r="O136" s="9">
        <f>FinancialAnalysis[[#This Row],[Gross Profit]]/FinancialAnalysis[[#This Row],[Revenue]]</f>
        <v>0.501</v>
      </c>
      <c r="P136" s="9">
        <f>FinancialAnalysis[[#This Row],[Operating Profit]]/FinancialAnalysis[[#This Row],[Revenue]]</f>
        <v>0.28126773985833869</v>
      </c>
      <c r="Q136" s="4">
        <f>FinancialAnalysis[[#This Row],[Revenue]]/FinancialAnalysis[[#This Row],[Units Sold]]</f>
        <v>40</v>
      </c>
      <c r="R136" s="4">
        <f>FinancialAnalysis[[#This Row],[Cost of Goods Sold]]/FinancialAnalysis[[#This Row],[Units Sold]]</f>
        <v>19.96</v>
      </c>
      <c r="S136" s="9">
        <f>FinancialAnalysis[[#This Row],[Total Operating Expenses]]/FinancialAnalysis[[#This Row],[Revenue]]</f>
        <v>0.21973226014166131</v>
      </c>
      <c r="T136" s="3" t="str">
        <f>IF(FinancialAnalysis[[#This Row],[Operating Profit]]&gt;0,"Profitable","Not Profitable")</f>
        <v>Profitable</v>
      </c>
    </row>
    <row r="137" spans="1:20" x14ac:dyDescent="0.3">
      <c r="A137" t="s">
        <v>19</v>
      </c>
      <c r="B137" t="s">
        <v>22</v>
      </c>
      <c r="C137" t="s">
        <v>23</v>
      </c>
      <c r="D137" s="1">
        <v>681</v>
      </c>
      <c r="E137" s="3">
        <v>219</v>
      </c>
      <c r="F137" s="2">
        <v>149139</v>
      </c>
      <c r="G137" s="3">
        <v>98372.084399999992</v>
      </c>
      <c r="H137" s="3">
        <v>15555.197700000001</v>
      </c>
      <c r="I137" s="3">
        <v>9431</v>
      </c>
      <c r="J137" s="3">
        <v>2974</v>
      </c>
      <c r="K137" s="8">
        <v>5771.6792999999998</v>
      </c>
      <c r="L137" s="3">
        <f>SUM(FinancialAnalysis[[#This Row],[Marketing Expense]:[Other Expense]])</f>
        <v>33731.877</v>
      </c>
      <c r="M137" s="3">
        <f>FinancialAnalysis[[#This Row],[Revenue]]-FinancialAnalysis[[#This Row],[Cost of Goods Sold]]</f>
        <v>50766.915600000008</v>
      </c>
      <c r="N137" s="11">
        <f>FinancialAnalysis[[#This Row],[Gross Profit]]-FinancialAnalysis[[#This Row],[Total Operating Expenses]]</f>
        <v>17035.038600000007</v>
      </c>
      <c r="O137" s="9">
        <f>FinancialAnalysis[[#This Row],[Gross Profit]]/FinancialAnalysis[[#This Row],[Revenue]]</f>
        <v>0.34040000000000004</v>
      </c>
      <c r="P137" s="9">
        <f>FinancialAnalysis[[#This Row],[Operating Profit]]/FinancialAnalysis[[#This Row],[Revenue]]</f>
        <v>0.11422256150302743</v>
      </c>
      <c r="Q137" s="4">
        <f>FinancialAnalysis[[#This Row],[Revenue]]/FinancialAnalysis[[#This Row],[Units Sold]]</f>
        <v>219</v>
      </c>
      <c r="R137" s="4">
        <f>FinancialAnalysis[[#This Row],[Cost of Goods Sold]]/FinancialAnalysis[[#This Row],[Units Sold]]</f>
        <v>144.45239999999998</v>
      </c>
      <c r="S137" s="9">
        <f>FinancialAnalysis[[#This Row],[Total Operating Expenses]]/FinancialAnalysis[[#This Row],[Revenue]]</f>
        <v>0.22617743849697264</v>
      </c>
      <c r="T137" s="3" t="str">
        <f>IF(FinancialAnalysis[[#This Row],[Operating Profit]]&gt;0,"Profitable","Not Profitable")</f>
        <v>Profitable</v>
      </c>
    </row>
    <row r="138" spans="1:20" x14ac:dyDescent="0.3">
      <c r="A138" t="s">
        <v>19</v>
      </c>
      <c r="B138" t="s">
        <v>22</v>
      </c>
      <c r="C138" t="s">
        <v>29</v>
      </c>
      <c r="D138" s="1">
        <v>2088</v>
      </c>
      <c r="E138" s="3">
        <v>67</v>
      </c>
      <c r="F138" s="2">
        <v>139896</v>
      </c>
      <c r="G138" s="3">
        <v>82552.6296</v>
      </c>
      <c r="H138" s="3">
        <v>16046.0712</v>
      </c>
      <c r="I138" s="3">
        <v>10714</v>
      </c>
      <c r="J138" s="3">
        <v>1197</v>
      </c>
      <c r="K138" s="8">
        <v>4910.3495999999996</v>
      </c>
      <c r="L138" s="3">
        <f>SUM(FinancialAnalysis[[#This Row],[Marketing Expense]:[Other Expense]])</f>
        <v>32867.4208</v>
      </c>
      <c r="M138" s="3">
        <f>FinancialAnalysis[[#This Row],[Revenue]]-FinancialAnalysis[[#This Row],[Cost of Goods Sold]]</f>
        <v>57343.3704</v>
      </c>
      <c r="N138" s="11">
        <f>FinancialAnalysis[[#This Row],[Gross Profit]]-FinancialAnalysis[[#This Row],[Total Operating Expenses]]</f>
        <v>24475.9496</v>
      </c>
      <c r="O138" s="9">
        <f>FinancialAnalysis[[#This Row],[Gross Profit]]/FinancialAnalysis[[#This Row],[Revenue]]</f>
        <v>0.40989999999999999</v>
      </c>
      <c r="P138" s="9">
        <f>FinancialAnalysis[[#This Row],[Operating Profit]]/FinancialAnalysis[[#This Row],[Revenue]]</f>
        <v>0.17495818036255503</v>
      </c>
      <c r="Q138" s="4">
        <f>FinancialAnalysis[[#This Row],[Revenue]]/FinancialAnalysis[[#This Row],[Units Sold]]</f>
        <v>67</v>
      </c>
      <c r="R138" s="4">
        <f>FinancialAnalysis[[#This Row],[Cost of Goods Sold]]/FinancialAnalysis[[#This Row],[Units Sold]]</f>
        <v>39.536700000000003</v>
      </c>
      <c r="S138" s="9">
        <f>FinancialAnalysis[[#This Row],[Total Operating Expenses]]/FinancialAnalysis[[#This Row],[Revenue]]</f>
        <v>0.23494181963744495</v>
      </c>
      <c r="T138" s="3" t="str">
        <f>IF(FinancialAnalysis[[#This Row],[Operating Profit]]&gt;0,"Profitable","Not Profitable")</f>
        <v>Profitable</v>
      </c>
    </row>
    <row r="139" spans="1:20" x14ac:dyDescent="0.3">
      <c r="A139" t="s">
        <v>19</v>
      </c>
      <c r="B139" t="s">
        <v>22</v>
      </c>
      <c r="C139" t="s">
        <v>24</v>
      </c>
      <c r="D139" s="1">
        <v>2025</v>
      </c>
      <c r="E139" s="3">
        <v>107</v>
      </c>
      <c r="F139" s="2">
        <v>216675</v>
      </c>
      <c r="G139" s="3">
        <v>131868.405</v>
      </c>
      <c r="H139" s="3">
        <v>22534.2</v>
      </c>
      <c r="I139" s="3">
        <v>7582</v>
      </c>
      <c r="J139" s="3">
        <v>3094</v>
      </c>
      <c r="K139" s="8">
        <v>9100.35</v>
      </c>
      <c r="L139" s="3">
        <f>SUM(FinancialAnalysis[[#This Row],[Marketing Expense]:[Other Expense]])</f>
        <v>42310.549999999996</v>
      </c>
      <c r="M139" s="3">
        <f>FinancialAnalysis[[#This Row],[Revenue]]-FinancialAnalysis[[#This Row],[Cost of Goods Sold]]</f>
        <v>84806.595000000001</v>
      </c>
      <c r="N139" s="11">
        <f>FinancialAnalysis[[#This Row],[Gross Profit]]-FinancialAnalysis[[#This Row],[Total Operating Expenses]]</f>
        <v>42496.045000000006</v>
      </c>
      <c r="O139" s="9">
        <f>FinancialAnalysis[[#This Row],[Gross Profit]]/FinancialAnalysis[[#This Row],[Revenue]]</f>
        <v>0.39140000000000003</v>
      </c>
      <c r="P139" s="9">
        <f>FinancialAnalysis[[#This Row],[Operating Profit]]/FinancialAnalysis[[#This Row],[Revenue]]</f>
        <v>0.19612804892119537</v>
      </c>
      <c r="Q139" s="4">
        <f>FinancialAnalysis[[#This Row],[Revenue]]/FinancialAnalysis[[#This Row],[Units Sold]]</f>
        <v>107</v>
      </c>
      <c r="R139" s="4">
        <f>FinancialAnalysis[[#This Row],[Cost of Goods Sold]]/FinancialAnalysis[[#This Row],[Units Sold]]</f>
        <v>65.120199999999997</v>
      </c>
      <c r="S139" s="9">
        <f>FinancialAnalysis[[#This Row],[Total Operating Expenses]]/FinancialAnalysis[[#This Row],[Revenue]]</f>
        <v>0.19527195107880463</v>
      </c>
      <c r="T139" s="3" t="str">
        <f>IF(FinancialAnalysis[[#This Row],[Operating Profit]]&gt;0,"Profitable","Not Profitable")</f>
        <v>Profitable</v>
      </c>
    </row>
    <row r="140" spans="1:20" x14ac:dyDescent="0.3">
      <c r="A140" t="s">
        <v>19</v>
      </c>
      <c r="B140" t="s">
        <v>22</v>
      </c>
      <c r="C140" t="s">
        <v>25</v>
      </c>
      <c r="D140" s="1">
        <v>1254</v>
      </c>
      <c r="E140" s="3">
        <v>498</v>
      </c>
      <c r="F140" s="2">
        <v>624492</v>
      </c>
      <c r="G140" s="3">
        <v>471616.35839999997</v>
      </c>
      <c r="H140" s="3">
        <v>43901.787600000003</v>
      </c>
      <c r="I140" s="3">
        <v>4402</v>
      </c>
      <c r="J140" s="3">
        <v>3847</v>
      </c>
      <c r="K140" s="8">
        <v>36220.536</v>
      </c>
      <c r="L140" s="3">
        <f>SUM(FinancialAnalysis[[#This Row],[Marketing Expense]:[Other Expense]])</f>
        <v>88371.323600000003</v>
      </c>
      <c r="M140" s="3">
        <f>FinancialAnalysis[[#This Row],[Revenue]]-FinancialAnalysis[[#This Row],[Cost of Goods Sold]]</f>
        <v>152875.64160000003</v>
      </c>
      <c r="N140" s="11">
        <f>FinancialAnalysis[[#This Row],[Gross Profit]]-FinancialAnalysis[[#This Row],[Total Operating Expenses]]</f>
        <v>64504.318000000028</v>
      </c>
      <c r="O140" s="9">
        <f>FinancialAnalysis[[#This Row],[Gross Profit]]/FinancialAnalysis[[#This Row],[Revenue]]</f>
        <v>0.24480000000000005</v>
      </c>
      <c r="P140" s="9">
        <f>FinancialAnalysis[[#This Row],[Operating Profit]]/FinancialAnalysis[[#This Row],[Revenue]]</f>
        <v>0.10329086361394546</v>
      </c>
      <c r="Q140" s="4">
        <f>FinancialAnalysis[[#This Row],[Revenue]]/FinancialAnalysis[[#This Row],[Units Sold]]</f>
        <v>498</v>
      </c>
      <c r="R140" s="4">
        <f>FinancialAnalysis[[#This Row],[Cost of Goods Sold]]/FinancialAnalysis[[#This Row],[Units Sold]]</f>
        <v>376.08959999999996</v>
      </c>
      <c r="S140" s="9">
        <f>FinancialAnalysis[[#This Row],[Total Operating Expenses]]/FinancialAnalysis[[#This Row],[Revenue]]</f>
        <v>0.14150913638605458</v>
      </c>
      <c r="T140" s="3" t="str">
        <f>IF(FinancialAnalysis[[#This Row],[Operating Profit]]&gt;0,"Profitable","Not Profitable")</f>
        <v>Profitable</v>
      </c>
    </row>
    <row r="141" spans="1:20" x14ac:dyDescent="0.3">
      <c r="A141" t="s">
        <v>19</v>
      </c>
      <c r="B141" t="s">
        <v>22</v>
      </c>
      <c r="C141" t="s">
        <v>26</v>
      </c>
      <c r="D141" s="1">
        <v>1310</v>
      </c>
      <c r="E141" s="3">
        <v>90</v>
      </c>
      <c r="F141" s="2">
        <v>117900</v>
      </c>
      <c r="G141" s="3">
        <v>78026.22</v>
      </c>
      <c r="H141" s="3">
        <v>9526.32</v>
      </c>
      <c r="I141" s="3">
        <v>6987</v>
      </c>
      <c r="J141" s="3">
        <v>2033</v>
      </c>
      <c r="K141" s="8">
        <v>6578.82</v>
      </c>
      <c r="L141" s="3">
        <f>SUM(FinancialAnalysis[[#This Row],[Marketing Expense]:[Other Expense]])</f>
        <v>25125.14</v>
      </c>
      <c r="M141" s="3">
        <f>FinancialAnalysis[[#This Row],[Revenue]]-FinancialAnalysis[[#This Row],[Cost of Goods Sold]]</f>
        <v>39873.78</v>
      </c>
      <c r="N141" s="11">
        <f>FinancialAnalysis[[#This Row],[Gross Profit]]-FinancialAnalysis[[#This Row],[Total Operating Expenses]]</f>
        <v>14748.64</v>
      </c>
      <c r="O141" s="9">
        <f>FinancialAnalysis[[#This Row],[Gross Profit]]/FinancialAnalysis[[#This Row],[Revenue]]</f>
        <v>0.3382</v>
      </c>
      <c r="P141" s="9">
        <f>FinancialAnalysis[[#This Row],[Operating Profit]]/FinancialAnalysis[[#This Row],[Revenue]]</f>
        <v>0.12509448685326546</v>
      </c>
      <c r="Q141" s="4">
        <f>FinancialAnalysis[[#This Row],[Revenue]]/FinancialAnalysis[[#This Row],[Units Sold]]</f>
        <v>90</v>
      </c>
      <c r="R141" s="4">
        <f>FinancialAnalysis[[#This Row],[Cost of Goods Sold]]/FinancialAnalysis[[#This Row],[Units Sold]]</f>
        <v>59.561999999999998</v>
      </c>
      <c r="S141" s="9">
        <f>FinancialAnalysis[[#This Row],[Total Operating Expenses]]/FinancialAnalysis[[#This Row],[Revenue]]</f>
        <v>0.21310551314673451</v>
      </c>
      <c r="T141" s="3" t="str">
        <f>IF(FinancialAnalysis[[#This Row],[Operating Profit]]&gt;0,"Profitable","Not Profitable")</f>
        <v>Profitable</v>
      </c>
    </row>
    <row r="142" spans="1:20" x14ac:dyDescent="0.3">
      <c r="A142" t="s">
        <v>19</v>
      </c>
      <c r="B142" t="s">
        <v>27</v>
      </c>
      <c r="C142" t="s">
        <v>23</v>
      </c>
      <c r="D142" s="1">
        <v>1320</v>
      </c>
      <c r="E142" s="3">
        <v>196</v>
      </c>
      <c r="F142" s="2">
        <v>258720</v>
      </c>
      <c r="G142" s="3">
        <v>164934</v>
      </c>
      <c r="H142" s="3">
        <v>12366.816000000001</v>
      </c>
      <c r="I142" s="3">
        <v>15798</v>
      </c>
      <c r="J142" s="3">
        <v>8162</v>
      </c>
      <c r="K142" s="8">
        <v>8641.2479999999996</v>
      </c>
      <c r="L142" s="3">
        <f>SUM(FinancialAnalysis[[#This Row],[Marketing Expense]:[Other Expense]])</f>
        <v>44968.063999999998</v>
      </c>
      <c r="M142" s="3">
        <f>FinancialAnalysis[[#This Row],[Revenue]]-FinancialAnalysis[[#This Row],[Cost of Goods Sold]]</f>
        <v>93786</v>
      </c>
      <c r="N142" s="11">
        <f>FinancialAnalysis[[#This Row],[Gross Profit]]-FinancialAnalysis[[#This Row],[Total Operating Expenses]]</f>
        <v>48817.936000000002</v>
      </c>
      <c r="O142" s="9">
        <f>FinancialAnalysis[[#This Row],[Gross Profit]]/FinancialAnalysis[[#This Row],[Revenue]]</f>
        <v>0.36249999999999999</v>
      </c>
      <c r="P142" s="9">
        <f>FinancialAnalysis[[#This Row],[Operating Profit]]/FinancialAnalysis[[#This Row],[Revenue]]</f>
        <v>0.18869022881880027</v>
      </c>
      <c r="Q142" s="4">
        <f>FinancialAnalysis[[#This Row],[Revenue]]/FinancialAnalysis[[#This Row],[Units Sold]]</f>
        <v>196</v>
      </c>
      <c r="R142" s="4">
        <f>FinancialAnalysis[[#This Row],[Cost of Goods Sold]]/FinancialAnalysis[[#This Row],[Units Sold]]</f>
        <v>124.95</v>
      </c>
      <c r="S142" s="9">
        <f>FinancialAnalysis[[#This Row],[Total Operating Expenses]]/FinancialAnalysis[[#This Row],[Revenue]]</f>
        <v>0.17380977118119975</v>
      </c>
      <c r="T142" s="3" t="str">
        <f>IF(FinancialAnalysis[[#This Row],[Operating Profit]]&gt;0,"Profitable","Not Profitable")</f>
        <v>Profitable</v>
      </c>
    </row>
    <row r="143" spans="1:20" x14ac:dyDescent="0.3">
      <c r="A143" t="s">
        <v>19</v>
      </c>
      <c r="B143" t="s">
        <v>27</v>
      </c>
      <c r="C143" t="s">
        <v>29</v>
      </c>
      <c r="D143" s="1">
        <v>731</v>
      </c>
      <c r="E143" s="3">
        <v>70</v>
      </c>
      <c r="F143" s="2">
        <v>51170</v>
      </c>
      <c r="G143" s="3">
        <v>25042.598000000002</v>
      </c>
      <c r="H143" s="3">
        <v>2256.5970000000002</v>
      </c>
      <c r="I143" s="3">
        <v>17658</v>
      </c>
      <c r="J143" s="3">
        <v>8607</v>
      </c>
      <c r="K143" s="8">
        <v>1540.2170000000001</v>
      </c>
      <c r="L143" s="3">
        <f>SUM(FinancialAnalysis[[#This Row],[Marketing Expense]:[Other Expense]])</f>
        <v>30061.814000000002</v>
      </c>
      <c r="M143" s="3">
        <f>FinancialAnalysis[[#This Row],[Revenue]]-FinancialAnalysis[[#This Row],[Cost of Goods Sold]]</f>
        <v>26127.401999999998</v>
      </c>
      <c r="N143" s="11">
        <f>FinancialAnalysis[[#This Row],[Gross Profit]]-FinancialAnalysis[[#This Row],[Total Operating Expenses]]</f>
        <v>-3934.4120000000039</v>
      </c>
      <c r="O143" s="9">
        <f>FinancialAnalysis[[#This Row],[Gross Profit]]/FinancialAnalysis[[#This Row],[Revenue]]</f>
        <v>0.51059999999999994</v>
      </c>
      <c r="P143" s="9">
        <f>FinancialAnalysis[[#This Row],[Operating Profit]]/FinancialAnalysis[[#This Row],[Revenue]]</f>
        <v>-7.6889036544850575E-2</v>
      </c>
      <c r="Q143" s="4">
        <f>FinancialAnalysis[[#This Row],[Revenue]]/FinancialAnalysis[[#This Row],[Units Sold]]</f>
        <v>70</v>
      </c>
      <c r="R143" s="4">
        <f>FinancialAnalysis[[#This Row],[Cost of Goods Sold]]/FinancialAnalysis[[#This Row],[Units Sold]]</f>
        <v>34.258000000000003</v>
      </c>
      <c r="S143" s="9">
        <f>FinancialAnalysis[[#This Row],[Total Operating Expenses]]/FinancialAnalysis[[#This Row],[Revenue]]</f>
        <v>0.58748903654485052</v>
      </c>
      <c r="T143" s="3" t="str">
        <f>IF(FinancialAnalysis[[#This Row],[Operating Profit]]&gt;0,"Profitable","Not Profitable")</f>
        <v>Not Profitable</v>
      </c>
    </row>
    <row r="144" spans="1:20" x14ac:dyDescent="0.3">
      <c r="A144" t="s">
        <v>19</v>
      </c>
      <c r="B144" t="s">
        <v>27</v>
      </c>
      <c r="C144" t="s">
        <v>24</v>
      </c>
      <c r="D144" s="1">
        <v>1204</v>
      </c>
      <c r="E144" s="3">
        <v>54</v>
      </c>
      <c r="F144" s="2">
        <v>65016</v>
      </c>
      <c r="G144" s="3">
        <v>39042.108</v>
      </c>
      <c r="H144" s="3">
        <v>2854.2024000000001</v>
      </c>
      <c r="I144" s="3">
        <v>9921</v>
      </c>
      <c r="J144" s="3">
        <v>8440</v>
      </c>
      <c r="K144" s="8">
        <v>2412.0936000000002</v>
      </c>
      <c r="L144" s="3">
        <f>SUM(FinancialAnalysis[[#This Row],[Marketing Expense]:[Other Expense]])</f>
        <v>23627.296000000002</v>
      </c>
      <c r="M144" s="3">
        <f>FinancialAnalysis[[#This Row],[Revenue]]-FinancialAnalysis[[#This Row],[Cost of Goods Sold]]</f>
        <v>25973.892</v>
      </c>
      <c r="N144" s="11">
        <f>FinancialAnalysis[[#This Row],[Gross Profit]]-FinancialAnalysis[[#This Row],[Total Operating Expenses]]</f>
        <v>2346.5959999999977</v>
      </c>
      <c r="O144" s="9">
        <f>FinancialAnalysis[[#This Row],[Gross Profit]]/FinancialAnalysis[[#This Row],[Revenue]]</f>
        <v>0.39950000000000002</v>
      </c>
      <c r="P144" s="9">
        <f>FinancialAnalysis[[#This Row],[Operating Profit]]/FinancialAnalysis[[#This Row],[Revenue]]</f>
        <v>3.6092592592592558E-2</v>
      </c>
      <c r="Q144" s="4">
        <f>FinancialAnalysis[[#This Row],[Revenue]]/FinancialAnalysis[[#This Row],[Units Sold]]</f>
        <v>54</v>
      </c>
      <c r="R144" s="4">
        <f>FinancialAnalysis[[#This Row],[Cost of Goods Sold]]/FinancialAnalysis[[#This Row],[Units Sold]]</f>
        <v>32.427</v>
      </c>
      <c r="S144" s="9">
        <f>FinancialAnalysis[[#This Row],[Total Operating Expenses]]/FinancialAnalysis[[#This Row],[Revenue]]</f>
        <v>0.36340740740740746</v>
      </c>
      <c r="T144" s="3" t="str">
        <f>IF(FinancialAnalysis[[#This Row],[Operating Profit]]&gt;0,"Profitable","Not Profitable")</f>
        <v>Profitable</v>
      </c>
    </row>
    <row r="145" spans="1:20" x14ac:dyDescent="0.3">
      <c r="A145" t="s">
        <v>19</v>
      </c>
      <c r="B145" t="s">
        <v>27</v>
      </c>
      <c r="C145" t="s">
        <v>25</v>
      </c>
      <c r="D145" s="1">
        <v>714</v>
      </c>
      <c r="E145" s="3">
        <v>504</v>
      </c>
      <c r="F145" s="2">
        <v>359856</v>
      </c>
      <c r="G145" s="3">
        <v>247796.84159999999</v>
      </c>
      <c r="H145" s="3">
        <v>11803.276800000001</v>
      </c>
      <c r="I145" s="3">
        <v>19021</v>
      </c>
      <c r="J145" s="3">
        <v>10741</v>
      </c>
      <c r="K145" s="8">
        <v>17992.8</v>
      </c>
      <c r="L145" s="3">
        <f>SUM(FinancialAnalysis[[#This Row],[Marketing Expense]:[Other Expense]])</f>
        <v>59558.076799999995</v>
      </c>
      <c r="M145" s="3">
        <f>FinancialAnalysis[[#This Row],[Revenue]]-FinancialAnalysis[[#This Row],[Cost of Goods Sold]]</f>
        <v>112059.15840000001</v>
      </c>
      <c r="N145" s="11">
        <f>FinancialAnalysis[[#This Row],[Gross Profit]]-FinancialAnalysis[[#This Row],[Total Operating Expenses]]</f>
        <v>52501.08160000002</v>
      </c>
      <c r="O145" s="9">
        <f>FinancialAnalysis[[#This Row],[Gross Profit]]/FinancialAnalysis[[#This Row],[Revenue]]</f>
        <v>0.31140000000000007</v>
      </c>
      <c r="P145" s="9">
        <f>FinancialAnalysis[[#This Row],[Operating Profit]]/FinancialAnalysis[[#This Row],[Revenue]]</f>
        <v>0.14589469565604024</v>
      </c>
      <c r="Q145" s="4">
        <f>FinancialAnalysis[[#This Row],[Revenue]]/FinancialAnalysis[[#This Row],[Units Sold]]</f>
        <v>504</v>
      </c>
      <c r="R145" s="4">
        <f>FinancialAnalysis[[#This Row],[Cost of Goods Sold]]/FinancialAnalysis[[#This Row],[Units Sold]]</f>
        <v>347.05439999999999</v>
      </c>
      <c r="S145" s="9">
        <f>FinancialAnalysis[[#This Row],[Total Operating Expenses]]/FinancialAnalysis[[#This Row],[Revenue]]</f>
        <v>0.1655053043439598</v>
      </c>
      <c r="T145" s="3" t="str">
        <f>IF(FinancialAnalysis[[#This Row],[Operating Profit]]&gt;0,"Profitable","Not Profitable")</f>
        <v>Profitable</v>
      </c>
    </row>
    <row r="146" spans="1:20" x14ac:dyDescent="0.3">
      <c r="A146" t="s">
        <v>19</v>
      </c>
      <c r="B146" t="s">
        <v>27</v>
      </c>
      <c r="C146" t="s">
        <v>26</v>
      </c>
      <c r="D146" s="1">
        <v>868</v>
      </c>
      <c r="E146" s="3">
        <v>76</v>
      </c>
      <c r="F146" s="2">
        <v>65968</v>
      </c>
      <c r="G146" s="3">
        <v>36599.046399999999</v>
      </c>
      <c r="H146" s="3">
        <v>2737.672</v>
      </c>
      <c r="I146" s="3">
        <v>12251</v>
      </c>
      <c r="J146" s="3">
        <v>13442</v>
      </c>
      <c r="K146" s="8">
        <v>3852.5311999999999</v>
      </c>
      <c r="L146" s="3">
        <f>SUM(FinancialAnalysis[[#This Row],[Marketing Expense]:[Other Expense]])</f>
        <v>32283.2032</v>
      </c>
      <c r="M146" s="3">
        <f>FinancialAnalysis[[#This Row],[Revenue]]-FinancialAnalysis[[#This Row],[Cost of Goods Sold]]</f>
        <v>29368.953600000001</v>
      </c>
      <c r="N146" s="11">
        <f>FinancialAnalysis[[#This Row],[Gross Profit]]-FinancialAnalysis[[#This Row],[Total Operating Expenses]]</f>
        <v>-2914.2495999999992</v>
      </c>
      <c r="O146" s="9">
        <f>FinancialAnalysis[[#This Row],[Gross Profit]]/FinancialAnalysis[[#This Row],[Revenue]]</f>
        <v>0.44519999999999998</v>
      </c>
      <c r="P146" s="9">
        <f>FinancialAnalysis[[#This Row],[Operating Profit]]/FinancialAnalysis[[#This Row],[Revenue]]</f>
        <v>-4.4176715983507142E-2</v>
      </c>
      <c r="Q146" s="4">
        <f>FinancialAnalysis[[#This Row],[Revenue]]/FinancialAnalysis[[#This Row],[Units Sold]]</f>
        <v>76</v>
      </c>
      <c r="R146" s="4">
        <f>FinancialAnalysis[[#This Row],[Cost of Goods Sold]]/FinancialAnalysis[[#This Row],[Units Sold]]</f>
        <v>42.1648</v>
      </c>
      <c r="S146" s="9">
        <f>FinancialAnalysis[[#This Row],[Total Operating Expenses]]/FinancialAnalysis[[#This Row],[Revenue]]</f>
        <v>0.48937671598350713</v>
      </c>
      <c r="T146" s="3" t="str">
        <f>IF(FinancialAnalysis[[#This Row],[Operating Profit]]&gt;0,"Profitable","Not Profitable")</f>
        <v>Not Profitable</v>
      </c>
    </row>
    <row r="147" spans="1:20" x14ac:dyDescent="0.3">
      <c r="A147" t="s">
        <v>19</v>
      </c>
      <c r="B147" t="s">
        <v>28</v>
      </c>
      <c r="C147" t="s">
        <v>23</v>
      </c>
      <c r="D147" s="1">
        <v>3092</v>
      </c>
      <c r="E147" s="3">
        <v>185</v>
      </c>
      <c r="F147" s="2">
        <v>572020</v>
      </c>
      <c r="G147" s="3">
        <v>353679.96599999996</v>
      </c>
      <c r="H147" s="3">
        <v>22022.77</v>
      </c>
      <c r="I147" s="3">
        <v>13744</v>
      </c>
      <c r="J147" s="3">
        <v>5254</v>
      </c>
      <c r="K147" s="8">
        <v>13671.278</v>
      </c>
      <c r="L147" s="3">
        <f>SUM(FinancialAnalysis[[#This Row],[Marketing Expense]:[Other Expense]])</f>
        <v>54692.048000000003</v>
      </c>
      <c r="M147" s="3">
        <f>FinancialAnalysis[[#This Row],[Revenue]]-FinancialAnalysis[[#This Row],[Cost of Goods Sold]]</f>
        <v>218340.03400000004</v>
      </c>
      <c r="N147" s="11">
        <f>FinancialAnalysis[[#This Row],[Gross Profit]]-FinancialAnalysis[[#This Row],[Total Operating Expenses]]</f>
        <v>163647.98600000003</v>
      </c>
      <c r="O147" s="9">
        <f>FinancialAnalysis[[#This Row],[Gross Profit]]/FinancialAnalysis[[#This Row],[Revenue]]</f>
        <v>0.38170000000000009</v>
      </c>
      <c r="P147" s="9">
        <f>FinancialAnalysis[[#This Row],[Operating Profit]]/FinancialAnalysis[[#This Row],[Revenue]]</f>
        <v>0.28608787454984097</v>
      </c>
      <c r="Q147" s="4">
        <f>FinancialAnalysis[[#This Row],[Revenue]]/FinancialAnalysis[[#This Row],[Units Sold]]</f>
        <v>185</v>
      </c>
      <c r="R147" s="4">
        <f>FinancialAnalysis[[#This Row],[Cost of Goods Sold]]/FinancialAnalysis[[#This Row],[Units Sold]]</f>
        <v>114.38549999999998</v>
      </c>
      <c r="S147" s="9">
        <f>FinancialAnalysis[[#This Row],[Total Operating Expenses]]/FinancialAnalysis[[#This Row],[Revenue]]</f>
        <v>9.5612125450159083E-2</v>
      </c>
      <c r="T147" s="3" t="str">
        <f>IF(FinancialAnalysis[[#This Row],[Operating Profit]]&gt;0,"Profitable","Not Profitable")</f>
        <v>Profitable</v>
      </c>
    </row>
    <row r="148" spans="1:20" x14ac:dyDescent="0.3">
      <c r="A148" t="s">
        <v>19</v>
      </c>
      <c r="B148" t="s">
        <v>28</v>
      </c>
      <c r="C148" t="s">
        <v>29</v>
      </c>
      <c r="D148" s="1">
        <v>1493</v>
      </c>
      <c r="E148" s="3">
        <v>60</v>
      </c>
      <c r="F148" s="2">
        <v>89580</v>
      </c>
      <c r="G148" s="3">
        <v>41583.036</v>
      </c>
      <c r="H148" s="3">
        <v>3054.6779999999999</v>
      </c>
      <c r="I148" s="3">
        <v>6915</v>
      </c>
      <c r="J148" s="3">
        <v>5817</v>
      </c>
      <c r="K148" s="8">
        <v>4138.5959999999995</v>
      </c>
      <c r="L148" s="3">
        <f>SUM(FinancialAnalysis[[#This Row],[Marketing Expense]:[Other Expense]])</f>
        <v>19925.273999999998</v>
      </c>
      <c r="M148" s="3">
        <f>FinancialAnalysis[[#This Row],[Revenue]]-FinancialAnalysis[[#This Row],[Cost of Goods Sold]]</f>
        <v>47996.964</v>
      </c>
      <c r="N148" s="11">
        <f>FinancialAnalysis[[#This Row],[Gross Profit]]-FinancialAnalysis[[#This Row],[Total Operating Expenses]]</f>
        <v>28071.690000000002</v>
      </c>
      <c r="O148" s="9">
        <f>FinancialAnalysis[[#This Row],[Gross Profit]]/FinancialAnalysis[[#This Row],[Revenue]]</f>
        <v>0.53580000000000005</v>
      </c>
      <c r="P148" s="9">
        <f>FinancialAnalysis[[#This Row],[Operating Profit]]/FinancialAnalysis[[#This Row],[Revenue]]</f>
        <v>0.31337006028131281</v>
      </c>
      <c r="Q148" s="4">
        <f>FinancialAnalysis[[#This Row],[Revenue]]/FinancialAnalysis[[#This Row],[Units Sold]]</f>
        <v>60</v>
      </c>
      <c r="R148" s="4">
        <f>FinancialAnalysis[[#This Row],[Cost of Goods Sold]]/FinancialAnalysis[[#This Row],[Units Sold]]</f>
        <v>27.852</v>
      </c>
      <c r="S148" s="9">
        <f>FinancialAnalysis[[#This Row],[Total Operating Expenses]]/FinancialAnalysis[[#This Row],[Revenue]]</f>
        <v>0.22242993971868719</v>
      </c>
      <c r="T148" s="3" t="str">
        <f>IF(FinancialAnalysis[[#This Row],[Operating Profit]]&gt;0,"Profitable","Not Profitable")</f>
        <v>Profitable</v>
      </c>
    </row>
    <row r="149" spans="1:20" x14ac:dyDescent="0.3">
      <c r="A149" t="s">
        <v>19</v>
      </c>
      <c r="B149" t="s">
        <v>28</v>
      </c>
      <c r="C149" t="s">
        <v>24</v>
      </c>
      <c r="D149" s="1">
        <v>1893</v>
      </c>
      <c r="E149" s="3">
        <v>44</v>
      </c>
      <c r="F149" s="2">
        <v>83292</v>
      </c>
      <c r="G149" s="3">
        <v>51591.064799999993</v>
      </c>
      <c r="H149" s="3">
        <v>2465.4432000000002</v>
      </c>
      <c r="I149" s="3">
        <v>12644</v>
      </c>
      <c r="J149" s="3">
        <v>5203</v>
      </c>
      <c r="K149" s="8">
        <v>4597.7183999999997</v>
      </c>
      <c r="L149" s="3">
        <f>SUM(FinancialAnalysis[[#This Row],[Marketing Expense]:[Other Expense]])</f>
        <v>24910.161599999999</v>
      </c>
      <c r="M149" s="3">
        <f>FinancialAnalysis[[#This Row],[Revenue]]-FinancialAnalysis[[#This Row],[Cost of Goods Sold]]</f>
        <v>31700.935200000007</v>
      </c>
      <c r="N149" s="11">
        <f>FinancialAnalysis[[#This Row],[Gross Profit]]-FinancialAnalysis[[#This Row],[Total Operating Expenses]]</f>
        <v>6790.7736000000077</v>
      </c>
      <c r="O149" s="9">
        <f>FinancialAnalysis[[#This Row],[Gross Profit]]/FinancialAnalysis[[#This Row],[Revenue]]</f>
        <v>0.3806000000000001</v>
      </c>
      <c r="P149" s="9">
        <f>FinancialAnalysis[[#This Row],[Operating Profit]]/FinancialAnalysis[[#This Row],[Revenue]]</f>
        <v>8.1529721942083369E-2</v>
      </c>
      <c r="Q149" s="4">
        <f>FinancialAnalysis[[#This Row],[Revenue]]/FinancialAnalysis[[#This Row],[Units Sold]]</f>
        <v>44</v>
      </c>
      <c r="R149" s="4">
        <f>FinancialAnalysis[[#This Row],[Cost of Goods Sold]]/FinancialAnalysis[[#This Row],[Units Sold]]</f>
        <v>27.253599999999995</v>
      </c>
      <c r="S149" s="9">
        <f>FinancialAnalysis[[#This Row],[Total Operating Expenses]]/FinancialAnalysis[[#This Row],[Revenue]]</f>
        <v>0.29907027805791669</v>
      </c>
      <c r="T149" s="3" t="str">
        <f>IF(FinancialAnalysis[[#This Row],[Operating Profit]]&gt;0,"Profitable","Not Profitable")</f>
        <v>Profitable</v>
      </c>
    </row>
    <row r="150" spans="1:20" x14ac:dyDescent="0.3">
      <c r="A150" t="s">
        <v>19</v>
      </c>
      <c r="B150" t="s">
        <v>28</v>
      </c>
      <c r="C150" t="s">
        <v>25</v>
      </c>
      <c r="D150" s="1">
        <v>2138</v>
      </c>
      <c r="E150" s="3">
        <v>199</v>
      </c>
      <c r="F150" s="2">
        <v>425462</v>
      </c>
      <c r="G150" s="3">
        <v>323266.02760000003</v>
      </c>
      <c r="H150" s="3">
        <v>17443.941999999999</v>
      </c>
      <c r="I150" s="3">
        <v>12954</v>
      </c>
      <c r="J150" s="3">
        <v>4707</v>
      </c>
      <c r="K150" s="8">
        <v>22847.309399999998</v>
      </c>
      <c r="L150" s="3">
        <f>SUM(FinancialAnalysis[[#This Row],[Marketing Expense]:[Other Expense]])</f>
        <v>57952.251399999994</v>
      </c>
      <c r="M150" s="3">
        <f>FinancialAnalysis[[#This Row],[Revenue]]-FinancialAnalysis[[#This Row],[Cost of Goods Sold]]</f>
        <v>102195.97239999997</v>
      </c>
      <c r="N150" s="11">
        <f>FinancialAnalysis[[#This Row],[Gross Profit]]-FinancialAnalysis[[#This Row],[Total Operating Expenses]]</f>
        <v>44243.720999999976</v>
      </c>
      <c r="O150" s="9">
        <f>FinancialAnalysis[[#This Row],[Gross Profit]]/FinancialAnalysis[[#This Row],[Revenue]]</f>
        <v>0.24019999999999994</v>
      </c>
      <c r="P150" s="9">
        <f>FinancialAnalysis[[#This Row],[Operating Profit]]/FinancialAnalysis[[#This Row],[Revenue]]</f>
        <v>0.10398982987904908</v>
      </c>
      <c r="Q150" s="4">
        <f>FinancialAnalysis[[#This Row],[Revenue]]/FinancialAnalysis[[#This Row],[Units Sold]]</f>
        <v>199</v>
      </c>
      <c r="R150" s="4">
        <f>FinancialAnalysis[[#This Row],[Cost of Goods Sold]]/FinancialAnalysis[[#This Row],[Units Sold]]</f>
        <v>151.20020000000002</v>
      </c>
      <c r="S150" s="9">
        <f>FinancialAnalysis[[#This Row],[Total Operating Expenses]]/FinancialAnalysis[[#This Row],[Revenue]]</f>
        <v>0.13621017012095085</v>
      </c>
      <c r="T150" s="3" t="str">
        <f>IF(FinancialAnalysis[[#This Row],[Operating Profit]]&gt;0,"Profitable","Not Profitable")</f>
        <v>Profitable</v>
      </c>
    </row>
    <row r="151" spans="1:20" x14ac:dyDescent="0.3">
      <c r="A151" t="s">
        <v>19</v>
      </c>
      <c r="B151" t="s">
        <v>28</v>
      </c>
      <c r="C151" t="s">
        <v>26</v>
      </c>
      <c r="D151" s="1">
        <v>2520</v>
      </c>
      <c r="E151" s="3">
        <v>70</v>
      </c>
      <c r="F151" s="2">
        <v>176400</v>
      </c>
      <c r="G151" s="3">
        <v>108750.6</v>
      </c>
      <c r="H151" s="3">
        <v>7638.12</v>
      </c>
      <c r="I151" s="3">
        <v>9341</v>
      </c>
      <c r="J151" s="3">
        <v>3346</v>
      </c>
      <c r="K151" s="8">
        <v>6403.32</v>
      </c>
      <c r="L151" s="3">
        <f>SUM(FinancialAnalysis[[#This Row],[Marketing Expense]:[Other Expense]])</f>
        <v>26728.44</v>
      </c>
      <c r="M151" s="3">
        <f>FinancialAnalysis[[#This Row],[Revenue]]-FinancialAnalysis[[#This Row],[Cost of Goods Sold]]</f>
        <v>67649.399999999994</v>
      </c>
      <c r="N151" s="11">
        <f>FinancialAnalysis[[#This Row],[Gross Profit]]-FinancialAnalysis[[#This Row],[Total Operating Expenses]]</f>
        <v>40920.959999999992</v>
      </c>
      <c r="O151" s="9">
        <f>FinancialAnalysis[[#This Row],[Gross Profit]]/FinancialAnalysis[[#This Row],[Revenue]]</f>
        <v>0.38349999999999995</v>
      </c>
      <c r="P151" s="9">
        <f>FinancialAnalysis[[#This Row],[Operating Profit]]/FinancialAnalysis[[#This Row],[Revenue]]</f>
        <v>0.23197823129251696</v>
      </c>
      <c r="Q151" s="4">
        <f>FinancialAnalysis[[#This Row],[Revenue]]/FinancialAnalysis[[#This Row],[Units Sold]]</f>
        <v>70</v>
      </c>
      <c r="R151" s="4">
        <f>FinancialAnalysis[[#This Row],[Cost of Goods Sold]]/FinancialAnalysis[[#This Row],[Units Sold]]</f>
        <v>43.155000000000001</v>
      </c>
      <c r="S151" s="9">
        <f>FinancialAnalysis[[#This Row],[Total Operating Expenses]]/FinancialAnalysis[[#This Row],[Revenue]]</f>
        <v>0.15152176870748299</v>
      </c>
      <c r="T151" s="3" t="str">
        <f>IF(FinancialAnalysis[[#This Row],[Operating Profit]]&gt;0,"Profitable","Not Profitable")</f>
        <v>Profitable</v>
      </c>
    </row>
    <row r="152" spans="1:20" x14ac:dyDescent="0.3">
      <c r="A152" t="s">
        <v>20</v>
      </c>
      <c r="B152" t="s">
        <v>22</v>
      </c>
      <c r="C152" t="s">
        <v>23</v>
      </c>
      <c r="D152" s="1">
        <v>1749</v>
      </c>
      <c r="E152" s="3">
        <v>146</v>
      </c>
      <c r="F152" s="2">
        <v>255354</v>
      </c>
      <c r="G152" s="3">
        <v>170678.61360000001</v>
      </c>
      <c r="H152" s="3">
        <v>29646.599399999999</v>
      </c>
      <c r="I152" s="3">
        <v>4966</v>
      </c>
      <c r="J152" s="3">
        <v>2208</v>
      </c>
      <c r="K152" s="8">
        <v>5413.5047999999997</v>
      </c>
      <c r="L152" s="3">
        <f>SUM(FinancialAnalysis[[#This Row],[Marketing Expense]:[Other Expense]])</f>
        <v>42234.104200000002</v>
      </c>
      <c r="M152" s="3">
        <f>FinancialAnalysis[[#This Row],[Revenue]]-FinancialAnalysis[[#This Row],[Cost of Goods Sold]]</f>
        <v>84675.386399999988</v>
      </c>
      <c r="N152" s="11">
        <f>FinancialAnalysis[[#This Row],[Gross Profit]]-FinancialAnalysis[[#This Row],[Total Operating Expenses]]</f>
        <v>42441.282199999987</v>
      </c>
      <c r="O152" s="9">
        <f>FinancialAnalysis[[#This Row],[Gross Profit]]/FinancialAnalysis[[#This Row],[Revenue]]</f>
        <v>0.33159999999999995</v>
      </c>
      <c r="P152" s="9">
        <f>FinancialAnalysis[[#This Row],[Operating Profit]]/FinancialAnalysis[[#This Row],[Revenue]]</f>
        <v>0.16620566820962268</v>
      </c>
      <c r="Q152" s="4">
        <f>FinancialAnalysis[[#This Row],[Revenue]]/FinancialAnalysis[[#This Row],[Units Sold]]</f>
        <v>146</v>
      </c>
      <c r="R152" s="4">
        <f>FinancialAnalysis[[#This Row],[Cost of Goods Sold]]/FinancialAnalysis[[#This Row],[Units Sold]]</f>
        <v>97.586400000000012</v>
      </c>
      <c r="S152" s="9">
        <f>FinancialAnalysis[[#This Row],[Total Operating Expenses]]/FinancialAnalysis[[#This Row],[Revenue]]</f>
        <v>0.1653943317903773</v>
      </c>
      <c r="T152" s="3" t="str">
        <f>IF(FinancialAnalysis[[#This Row],[Operating Profit]]&gt;0,"Profitable","Not Profitable")</f>
        <v>Profitable</v>
      </c>
    </row>
    <row r="153" spans="1:20" x14ac:dyDescent="0.3">
      <c r="A153" t="s">
        <v>20</v>
      </c>
      <c r="B153" t="s">
        <v>22</v>
      </c>
      <c r="C153" t="s">
        <v>29</v>
      </c>
      <c r="D153" s="1">
        <v>1221</v>
      </c>
      <c r="E153" s="3">
        <v>67</v>
      </c>
      <c r="F153" s="2">
        <v>81807</v>
      </c>
      <c r="G153" s="3">
        <v>48405.2019</v>
      </c>
      <c r="H153" s="3">
        <v>7313.5457999999999</v>
      </c>
      <c r="I153" s="3">
        <v>4758</v>
      </c>
      <c r="J153" s="3">
        <v>2207</v>
      </c>
      <c r="K153" s="8">
        <v>1709.7663</v>
      </c>
      <c r="L153" s="3">
        <f>SUM(FinancialAnalysis[[#This Row],[Marketing Expense]:[Other Expense]])</f>
        <v>15988.312099999999</v>
      </c>
      <c r="M153" s="3">
        <f>FinancialAnalysis[[#This Row],[Revenue]]-FinancialAnalysis[[#This Row],[Cost of Goods Sold]]</f>
        <v>33401.7981</v>
      </c>
      <c r="N153" s="11">
        <f>FinancialAnalysis[[#This Row],[Gross Profit]]-FinancialAnalysis[[#This Row],[Total Operating Expenses]]</f>
        <v>17413.486000000001</v>
      </c>
      <c r="O153" s="9">
        <f>FinancialAnalysis[[#This Row],[Gross Profit]]/FinancialAnalysis[[#This Row],[Revenue]]</f>
        <v>0.4083</v>
      </c>
      <c r="P153" s="9">
        <f>FinancialAnalysis[[#This Row],[Operating Profit]]/FinancialAnalysis[[#This Row],[Revenue]]</f>
        <v>0.21286058650237755</v>
      </c>
      <c r="Q153" s="4">
        <f>FinancialAnalysis[[#This Row],[Revenue]]/FinancialAnalysis[[#This Row],[Units Sold]]</f>
        <v>67</v>
      </c>
      <c r="R153" s="4">
        <f>FinancialAnalysis[[#This Row],[Cost of Goods Sold]]/FinancialAnalysis[[#This Row],[Units Sold]]</f>
        <v>39.643900000000002</v>
      </c>
      <c r="S153" s="9">
        <f>FinancialAnalysis[[#This Row],[Total Operating Expenses]]/FinancialAnalysis[[#This Row],[Revenue]]</f>
        <v>0.19543941349762245</v>
      </c>
      <c r="T153" s="3" t="str">
        <f>IF(FinancialAnalysis[[#This Row],[Operating Profit]]&gt;0,"Profitable","Not Profitable")</f>
        <v>Profitable</v>
      </c>
    </row>
    <row r="154" spans="1:20" x14ac:dyDescent="0.3">
      <c r="A154" t="s">
        <v>20</v>
      </c>
      <c r="B154" t="s">
        <v>22</v>
      </c>
      <c r="C154" t="s">
        <v>24</v>
      </c>
      <c r="D154" s="1">
        <v>1111</v>
      </c>
      <c r="E154" s="3">
        <v>36</v>
      </c>
      <c r="F154" s="2">
        <v>39996</v>
      </c>
      <c r="G154" s="3">
        <v>23185.681199999999</v>
      </c>
      <c r="H154" s="3">
        <v>4155.5844000000006</v>
      </c>
      <c r="I154" s="3">
        <v>10303</v>
      </c>
      <c r="J154" s="3">
        <v>1861</v>
      </c>
      <c r="K154" s="8">
        <v>2391.7608</v>
      </c>
      <c r="L154" s="3">
        <f>SUM(FinancialAnalysis[[#This Row],[Marketing Expense]:[Other Expense]])</f>
        <v>18711.3452</v>
      </c>
      <c r="M154" s="3">
        <f>FinancialAnalysis[[#This Row],[Revenue]]-FinancialAnalysis[[#This Row],[Cost of Goods Sold]]</f>
        <v>16810.318800000001</v>
      </c>
      <c r="N154" s="11">
        <f>FinancialAnalysis[[#This Row],[Gross Profit]]-FinancialAnalysis[[#This Row],[Total Operating Expenses]]</f>
        <v>-1901.0263999999988</v>
      </c>
      <c r="O154" s="9">
        <f>FinancialAnalysis[[#This Row],[Gross Profit]]/FinancialAnalysis[[#This Row],[Revenue]]</f>
        <v>0.42030000000000001</v>
      </c>
      <c r="P154" s="9">
        <f>FinancialAnalysis[[#This Row],[Operating Profit]]/FinancialAnalysis[[#This Row],[Revenue]]</f>
        <v>-4.75304130413041E-2</v>
      </c>
      <c r="Q154" s="4">
        <f>FinancialAnalysis[[#This Row],[Revenue]]/FinancialAnalysis[[#This Row],[Units Sold]]</f>
        <v>36</v>
      </c>
      <c r="R154" s="4">
        <f>FinancialAnalysis[[#This Row],[Cost of Goods Sold]]/FinancialAnalysis[[#This Row],[Units Sold]]</f>
        <v>20.869199999999999</v>
      </c>
      <c r="S154" s="9">
        <f>FinancialAnalysis[[#This Row],[Total Operating Expenses]]/FinancialAnalysis[[#This Row],[Revenue]]</f>
        <v>0.46783041304130413</v>
      </c>
      <c r="T154" s="3" t="str">
        <f>IF(FinancialAnalysis[[#This Row],[Operating Profit]]&gt;0,"Profitable","Not Profitable")</f>
        <v>Not Profitable</v>
      </c>
    </row>
    <row r="155" spans="1:20" x14ac:dyDescent="0.3">
      <c r="A155" t="s">
        <v>20</v>
      </c>
      <c r="B155" t="s">
        <v>22</v>
      </c>
      <c r="C155" t="s">
        <v>25</v>
      </c>
      <c r="D155" s="1">
        <v>713</v>
      </c>
      <c r="E155" s="3">
        <v>598</v>
      </c>
      <c r="F155" s="2">
        <v>426374</v>
      </c>
      <c r="G155" s="3">
        <v>271642.87540000002</v>
      </c>
      <c r="H155" s="3">
        <v>37520.911999999997</v>
      </c>
      <c r="I155" s="3">
        <v>10884</v>
      </c>
      <c r="J155" s="3">
        <v>1677</v>
      </c>
      <c r="K155" s="8">
        <v>21531.886999999999</v>
      </c>
      <c r="L155" s="3">
        <f>SUM(FinancialAnalysis[[#This Row],[Marketing Expense]:[Other Expense]])</f>
        <v>71613.798999999999</v>
      </c>
      <c r="M155" s="3">
        <f>FinancialAnalysis[[#This Row],[Revenue]]-FinancialAnalysis[[#This Row],[Cost of Goods Sold]]</f>
        <v>154731.12459999998</v>
      </c>
      <c r="N155" s="11">
        <f>FinancialAnalysis[[#This Row],[Gross Profit]]-FinancialAnalysis[[#This Row],[Total Operating Expenses]]</f>
        <v>83117.325599999982</v>
      </c>
      <c r="O155" s="9">
        <f>FinancialAnalysis[[#This Row],[Gross Profit]]/FinancialAnalysis[[#This Row],[Revenue]]</f>
        <v>0.36289999999999994</v>
      </c>
      <c r="P155" s="9">
        <f>FinancialAnalysis[[#This Row],[Operating Profit]]/FinancialAnalysis[[#This Row],[Revenue]]</f>
        <v>0.19493994849592139</v>
      </c>
      <c r="Q155" s="4">
        <f>FinancialAnalysis[[#This Row],[Revenue]]/FinancialAnalysis[[#This Row],[Units Sold]]</f>
        <v>598</v>
      </c>
      <c r="R155" s="4">
        <f>FinancialAnalysis[[#This Row],[Cost of Goods Sold]]/FinancialAnalysis[[#This Row],[Units Sold]]</f>
        <v>380.98580000000004</v>
      </c>
      <c r="S155" s="9">
        <f>FinancialAnalysis[[#This Row],[Total Operating Expenses]]/FinancialAnalysis[[#This Row],[Revenue]]</f>
        <v>0.16796005150407858</v>
      </c>
      <c r="T155" s="3" t="str">
        <f>IF(FinancialAnalysis[[#This Row],[Operating Profit]]&gt;0,"Profitable","Not Profitable")</f>
        <v>Profitable</v>
      </c>
    </row>
    <row r="156" spans="1:20" x14ac:dyDescent="0.3">
      <c r="A156" t="s">
        <v>20</v>
      </c>
      <c r="B156" t="s">
        <v>22</v>
      </c>
      <c r="C156" t="s">
        <v>26</v>
      </c>
      <c r="D156" s="1">
        <v>1079</v>
      </c>
      <c r="E156" s="3">
        <v>33</v>
      </c>
      <c r="F156" s="2">
        <v>35607</v>
      </c>
      <c r="G156" s="3">
        <v>23521.984199999999</v>
      </c>
      <c r="H156" s="3">
        <v>4034.2730999999999</v>
      </c>
      <c r="I156" s="3">
        <v>11444</v>
      </c>
      <c r="J156" s="3">
        <v>3939</v>
      </c>
      <c r="K156" s="8">
        <v>1523.9795999999999</v>
      </c>
      <c r="L156" s="3">
        <f>SUM(FinancialAnalysis[[#This Row],[Marketing Expense]:[Other Expense]])</f>
        <v>20941.252699999997</v>
      </c>
      <c r="M156" s="3">
        <f>FinancialAnalysis[[#This Row],[Revenue]]-FinancialAnalysis[[#This Row],[Cost of Goods Sold]]</f>
        <v>12085.015800000001</v>
      </c>
      <c r="N156" s="11">
        <f>FinancialAnalysis[[#This Row],[Gross Profit]]-FinancialAnalysis[[#This Row],[Total Operating Expenses]]</f>
        <v>-8856.2368999999962</v>
      </c>
      <c r="O156" s="9">
        <f>FinancialAnalysis[[#This Row],[Gross Profit]]/FinancialAnalysis[[#This Row],[Revenue]]</f>
        <v>0.33940000000000003</v>
      </c>
      <c r="P156" s="9">
        <f>FinancialAnalysis[[#This Row],[Operating Profit]]/FinancialAnalysis[[#This Row],[Revenue]]</f>
        <v>-0.2487217934675765</v>
      </c>
      <c r="Q156" s="4">
        <f>FinancialAnalysis[[#This Row],[Revenue]]/FinancialAnalysis[[#This Row],[Units Sold]]</f>
        <v>33</v>
      </c>
      <c r="R156" s="4">
        <f>FinancialAnalysis[[#This Row],[Cost of Goods Sold]]/FinancialAnalysis[[#This Row],[Units Sold]]</f>
        <v>21.799799999999998</v>
      </c>
      <c r="S156" s="9">
        <f>FinancialAnalysis[[#This Row],[Total Operating Expenses]]/FinancialAnalysis[[#This Row],[Revenue]]</f>
        <v>0.58812179346757654</v>
      </c>
      <c r="T156" s="3" t="str">
        <f>IF(FinancialAnalysis[[#This Row],[Operating Profit]]&gt;0,"Profitable","Not Profitable")</f>
        <v>Not Profitable</v>
      </c>
    </row>
    <row r="157" spans="1:20" x14ac:dyDescent="0.3">
      <c r="A157" t="s">
        <v>20</v>
      </c>
      <c r="B157" t="s">
        <v>27</v>
      </c>
      <c r="C157" t="s">
        <v>23</v>
      </c>
      <c r="D157" s="1">
        <v>1057</v>
      </c>
      <c r="E157" s="3">
        <v>198</v>
      </c>
      <c r="F157" s="2">
        <v>209286</v>
      </c>
      <c r="G157" s="3">
        <v>145516.5558</v>
      </c>
      <c r="H157" s="3">
        <v>11782.801800000001</v>
      </c>
      <c r="I157" s="3">
        <v>19086</v>
      </c>
      <c r="J157" s="3">
        <v>12378</v>
      </c>
      <c r="K157" s="8">
        <v>11803.7304</v>
      </c>
      <c r="L157" s="3">
        <f>SUM(FinancialAnalysis[[#This Row],[Marketing Expense]:[Other Expense]])</f>
        <v>55050.532200000001</v>
      </c>
      <c r="M157" s="3">
        <f>FinancialAnalysis[[#This Row],[Revenue]]-FinancialAnalysis[[#This Row],[Cost of Goods Sold]]</f>
        <v>63769.444199999998</v>
      </c>
      <c r="N157" s="11">
        <f>FinancialAnalysis[[#This Row],[Gross Profit]]-FinancialAnalysis[[#This Row],[Total Operating Expenses]]</f>
        <v>8718.9119999999966</v>
      </c>
      <c r="O157" s="9">
        <f>FinancialAnalysis[[#This Row],[Gross Profit]]/FinancialAnalysis[[#This Row],[Revenue]]</f>
        <v>0.30469999999999997</v>
      </c>
      <c r="P157" s="9">
        <f>FinancialAnalysis[[#This Row],[Operating Profit]]/FinancialAnalysis[[#This Row],[Revenue]]</f>
        <v>4.1660273501333091E-2</v>
      </c>
      <c r="Q157" s="4">
        <f>FinancialAnalysis[[#This Row],[Revenue]]/FinancialAnalysis[[#This Row],[Units Sold]]</f>
        <v>198</v>
      </c>
      <c r="R157" s="4">
        <f>FinancialAnalysis[[#This Row],[Cost of Goods Sold]]/FinancialAnalysis[[#This Row],[Units Sold]]</f>
        <v>137.6694</v>
      </c>
      <c r="S157" s="9">
        <f>FinancialAnalysis[[#This Row],[Total Operating Expenses]]/FinancialAnalysis[[#This Row],[Revenue]]</f>
        <v>0.26303972649866691</v>
      </c>
      <c r="T157" s="3" t="str">
        <f>IF(FinancialAnalysis[[#This Row],[Operating Profit]]&gt;0,"Profitable","Not Profitable")</f>
        <v>Profitable</v>
      </c>
    </row>
    <row r="158" spans="1:20" x14ac:dyDescent="0.3">
      <c r="A158" t="s">
        <v>20</v>
      </c>
      <c r="B158" t="s">
        <v>27</v>
      </c>
      <c r="C158" t="s">
        <v>29</v>
      </c>
      <c r="D158" s="1">
        <v>661</v>
      </c>
      <c r="E158" s="3">
        <v>68</v>
      </c>
      <c r="F158" s="2">
        <v>44948</v>
      </c>
      <c r="G158" s="3">
        <v>20797.439600000002</v>
      </c>
      <c r="H158" s="3">
        <v>2849.7031999999999</v>
      </c>
      <c r="I158" s="3">
        <v>8060</v>
      </c>
      <c r="J158" s="3">
        <v>8024</v>
      </c>
      <c r="K158" s="8">
        <v>1968.7224000000001</v>
      </c>
      <c r="L158" s="3">
        <f>SUM(FinancialAnalysis[[#This Row],[Marketing Expense]:[Other Expense]])</f>
        <v>20902.425599999999</v>
      </c>
      <c r="M158" s="3">
        <f>FinancialAnalysis[[#This Row],[Revenue]]-FinancialAnalysis[[#This Row],[Cost of Goods Sold]]</f>
        <v>24150.560399999998</v>
      </c>
      <c r="N158" s="11">
        <f>FinancialAnalysis[[#This Row],[Gross Profit]]-FinancialAnalysis[[#This Row],[Total Operating Expenses]]</f>
        <v>3248.1347999999998</v>
      </c>
      <c r="O158" s="9">
        <f>FinancialAnalysis[[#This Row],[Gross Profit]]/FinancialAnalysis[[#This Row],[Revenue]]</f>
        <v>0.5373</v>
      </c>
      <c r="P158" s="9">
        <f>FinancialAnalysis[[#This Row],[Operating Profit]]/FinancialAnalysis[[#This Row],[Revenue]]</f>
        <v>7.2264278722078842E-2</v>
      </c>
      <c r="Q158" s="4">
        <f>FinancialAnalysis[[#This Row],[Revenue]]/FinancialAnalysis[[#This Row],[Units Sold]]</f>
        <v>68</v>
      </c>
      <c r="R158" s="4">
        <f>FinancialAnalysis[[#This Row],[Cost of Goods Sold]]/FinancialAnalysis[[#This Row],[Units Sold]]</f>
        <v>31.463600000000003</v>
      </c>
      <c r="S158" s="9">
        <f>FinancialAnalysis[[#This Row],[Total Operating Expenses]]/FinancialAnalysis[[#This Row],[Revenue]]</f>
        <v>0.46503572127792114</v>
      </c>
      <c r="T158" s="3" t="str">
        <f>IF(FinancialAnalysis[[#This Row],[Operating Profit]]&gt;0,"Profitable","Not Profitable")</f>
        <v>Profitable</v>
      </c>
    </row>
    <row r="159" spans="1:20" x14ac:dyDescent="0.3">
      <c r="A159" t="s">
        <v>20</v>
      </c>
      <c r="B159" t="s">
        <v>27</v>
      </c>
      <c r="C159" t="s">
        <v>24</v>
      </c>
      <c r="D159" s="1">
        <v>1237</v>
      </c>
      <c r="E159" s="3">
        <v>52</v>
      </c>
      <c r="F159" s="2">
        <v>64324</v>
      </c>
      <c r="G159" s="3">
        <v>39565.6924</v>
      </c>
      <c r="H159" s="3">
        <v>3081.1196</v>
      </c>
      <c r="I159" s="3">
        <v>14778</v>
      </c>
      <c r="J159" s="3">
        <v>8108</v>
      </c>
      <c r="K159" s="8">
        <v>3023.2280000000001</v>
      </c>
      <c r="L159" s="3">
        <f>SUM(FinancialAnalysis[[#This Row],[Marketing Expense]:[Other Expense]])</f>
        <v>28990.347599999997</v>
      </c>
      <c r="M159" s="3">
        <f>FinancialAnalysis[[#This Row],[Revenue]]-FinancialAnalysis[[#This Row],[Cost of Goods Sold]]</f>
        <v>24758.3076</v>
      </c>
      <c r="N159" s="11">
        <f>FinancialAnalysis[[#This Row],[Gross Profit]]-FinancialAnalysis[[#This Row],[Total Operating Expenses]]</f>
        <v>-4232.0399999999972</v>
      </c>
      <c r="O159" s="9">
        <f>FinancialAnalysis[[#This Row],[Gross Profit]]/FinancialAnalysis[[#This Row],[Revenue]]</f>
        <v>0.38490000000000002</v>
      </c>
      <c r="P159" s="9">
        <f>FinancialAnalysis[[#This Row],[Operating Profit]]/FinancialAnalysis[[#This Row],[Revenue]]</f>
        <v>-6.579255021453885E-2</v>
      </c>
      <c r="Q159" s="4">
        <f>FinancialAnalysis[[#This Row],[Revenue]]/FinancialAnalysis[[#This Row],[Units Sold]]</f>
        <v>52</v>
      </c>
      <c r="R159" s="4">
        <f>FinancialAnalysis[[#This Row],[Cost of Goods Sold]]/FinancialAnalysis[[#This Row],[Units Sold]]</f>
        <v>31.985199999999999</v>
      </c>
      <c r="S159" s="9">
        <f>FinancialAnalysis[[#This Row],[Total Operating Expenses]]/FinancialAnalysis[[#This Row],[Revenue]]</f>
        <v>0.45069255021453886</v>
      </c>
      <c r="T159" s="3" t="str">
        <f>IF(FinancialAnalysis[[#This Row],[Operating Profit]]&gt;0,"Profitable","Not Profitable")</f>
        <v>Not Profitable</v>
      </c>
    </row>
    <row r="160" spans="1:20" x14ac:dyDescent="0.3">
      <c r="A160" t="s">
        <v>20</v>
      </c>
      <c r="B160" t="s">
        <v>27</v>
      </c>
      <c r="C160" t="s">
        <v>25</v>
      </c>
      <c r="D160" s="1">
        <v>333</v>
      </c>
      <c r="E160" s="3">
        <v>237</v>
      </c>
      <c r="F160" s="2">
        <v>78921</v>
      </c>
      <c r="G160" s="3">
        <v>58527.813600000001</v>
      </c>
      <c r="H160" s="3">
        <v>4987.8072000000002</v>
      </c>
      <c r="I160" s="3">
        <v>10863</v>
      </c>
      <c r="J160" s="3">
        <v>11165</v>
      </c>
      <c r="K160" s="8">
        <v>4656.3389999999999</v>
      </c>
      <c r="L160" s="3">
        <f>SUM(FinancialAnalysis[[#This Row],[Marketing Expense]:[Other Expense]])</f>
        <v>31672.146199999999</v>
      </c>
      <c r="M160" s="3">
        <f>FinancialAnalysis[[#This Row],[Revenue]]-FinancialAnalysis[[#This Row],[Cost of Goods Sold]]</f>
        <v>20393.186399999999</v>
      </c>
      <c r="N160" s="11">
        <f>FinancialAnalysis[[#This Row],[Gross Profit]]-FinancialAnalysis[[#This Row],[Total Operating Expenses]]</f>
        <v>-11278.959800000001</v>
      </c>
      <c r="O160" s="9">
        <f>FinancialAnalysis[[#This Row],[Gross Profit]]/FinancialAnalysis[[#This Row],[Revenue]]</f>
        <v>0.25839999999999996</v>
      </c>
      <c r="P160" s="9">
        <f>FinancialAnalysis[[#This Row],[Operating Profit]]/FinancialAnalysis[[#This Row],[Revenue]]</f>
        <v>-0.14291455759557026</v>
      </c>
      <c r="Q160" s="4">
        <f>FinancialAnalysis[[#This Row],[Revenue]]/FinancialAnalysis[[#This Row],[Units Sold]]</f>
        <v>237</v>
      </c>
      <c r="R160" s="4">
        <f>FinancialAnalysis[[#This Row],[Cost of Goods Sold]]/FinancialAnalysis[[#This Row],[Units Sold]]</f>
        <v>175.75919999999999</v>
      </c>
      <c r="S160" s="9">
        <f>FinancialAnalysis[[#This Row],[Total Operating Expenses]]/FinancialAnalysis[[#This Row],[Revenue]]</f>
        <v>0.40131455759557022</v>
      </c>
      <c r="T160" s="3" t="str">
        <f>IF(FinancialAnalysis[[#This Row],[Operating Profit]]&gt;0,"Profitable","Not Profitable")</f>
        <v>Not Profitable</v>
      </c>
    </row>
    <row r="161" spans="1:20" x14ac:dyDescent="0.3">
      <c r="A161" t="s">
        <v>20</v>
      </c>
      <c r="B161" t="s">
        <v>27</v>
      </c>
      <c r="C161" t="s">
        <v>26</v>
      </c>
      <c r="D161" s="1">
        <v>1387</v>
      </c>
      <c r="E161" s="3">
        <v>87</v>
      </c>
      <c r="F161" s="2">
        <v>120669</v>
      </c>
      <c r="G161" s="3">
        <v>67176.4323</v>
      </c>
      <c r="H161" s="3">
        <v>4983.6297000000004</v>
      </c>
      <c r="I161" s="3">
        <v>14339</v>
      </c>
      <c r="J161" s="3">
        <v>10794</v>
      </c>
      <c r="K161" s="8">
        <v>3426.9996000000001</v>
      </c>
      <c r="L161" s="3">
        <f>SUM(FinancialAnalysis[[#This Row],[Marketing Expense]:[Other Expense]])</f>
        <v>33543.629300000001</v>
      </c>
      <c r="M161" s="3">
        <f>FinancialAnalysis[[#This Row],[Revenue]]-FinancialAnalysis[[#This Row],[Cost of Goods Sold]]</f>
        <v>53492.5677</v>
      </c>
      <c r="N161" s="11">
        <f>FinancialAnalysis[[#This Row],[Gross Profit]]-FinancialAnalysis[[#This Row],[Total Operating Expenses]]</f>
        <v>19948.938399999999</v>
      </c>
      <c r="O161" s="9">
        <f>FinancialAnalysis[[#This Row],[Gross Profit]]/FinancialAnalysis[[#This Row],[Revenue]]</f>
        <v>0.44329999999999997</v>
      </c>
      <c r="P161" s="9">
        <f>FinancialAnalysis[[#This Row],[Operating Profit]]/FinancialAnalysis[[#This Row],[Revenue]]</f>
        <v>0.1653194971367957</v>
      </c>
      <c r="Q161" s="4">
        <f>FinancialAnalysis[[#This Row],[Revenue]]/FinancialAnalysis[[#This Row],[Units Sold]]</f>
        <v>87</v>
      </c>
      <c r="R161" s="4">
        <f>FinancialAnalysis[[#This Row],[Cost of Goods Sold]]/FinancialAnalysis[[#This Row],[Units Sold]]</f>
        <v>48.432900000000004</v>
      </c>
      <c r="S161" s="9">
        <f>FinancialAnalysis[[#This Row],[Total Operating Expenses]]/FinancialAnalysis[[#This Row],[Revenue]]</f>
        <v>0.2779805028632043</v>
      </c>
      <c r="T161" s="3" t="str">
        <f>IF(FinancialAnalysis[[#This Row],[Operating Profit]]&gt;0,"Profitable","Not Profitable")</f>
        <v>Profitable</v>
      </c>
    </row>
    <row r="162" spans="1:20" x14ac:dyDescent="0.3">
      <c r="A162" t="s">
        <v>20</v>
      </c>
      <c r="B162" t="s">
        <v>28</v>
      </c>
      <c r="C162" t="s">
        <v>23</v>
      </c>
      <c r="D162" s="1">
        <v>2442</v>
      </c>
      <c r="E162" s="3">
        <v>208</v>
      </c>
      <c r="F162" s="2">
        <v>507936</v>
      </c>
      <c r="G162" s="3">
        <v>356774.2464</v>
      </c>
      <c r="H162" s="3">
        <v>12292.0512</v>
      </c>
      <c r="I162" s="3">
        <v>5674</v>
      </c>
      <c r="J162" s="3">
        <v>3993</v>
      </c>
      <c r="K162" s="8">
        <v>16914.268800000002</v>
      </c>
      <c r="L162" s="3">
        <f>SUM(FinancialAnalysis[[#This Row],[Marketing Expense]:[Other Expense]])</f>
        <v>38873.320000000007</v>
      </c>
      <c r="M162" s="3">
        <f>FinancialAnalysis[[#This Row],[Revenue]]-FinancialAnalysis[[#This Row],[Cost of Goods Sold]]</f>
        <v>151161.7536</v>
      </c>
      <c r="N162" s="11">
        <f>FinancialAnalysis[[#This Row],[Gross Profit]]-FinancialAnalysis[[#This Row],[Total Operating Expenses]]</f>
        <v>112288.43359999999</v>
      </c>
      <c r="O162" s="9">
        <f>FinancialAnalysis[[#This Row],[Gross Profit]]/FinancialAnalysis[[#This Row],[Revenue]]</f>
        <v>0.29759999999999998</v>
      </c>
      <c r="P162" s="9">
        <f>FinancialAnalysis[[#This Row],[Operating Profit]]/FinancialAnalysis[[#This Row],[Revenue]]</f>
        <v>0.22106807471807469</v>
      </c>
      <c r="Q162" s="4">
        <f>FinancialAnalysis[[#This Row],[Revenue]]/FinancialAnalysis[[#This Row],[Units Sold]]</f>
        <v>208</v>
      </c>
      <c r="R162" s="4">
        <f>FinancialAnalysis[[#This Row],[Cost of Goods Sold]]/FinancialAnalysis[[#This Row],[Units Sold]]</f>
        <v>146.0992</v>
      </c>
      <c r="S162" s="9">
        <f>FinancialAnalysis[[#This Row],[Total Operating Expenses]]/FinancialAnalysis[[#This Row],[Revenue]]</f>
        <v>7.6531925281925289E-2</v>
      </c>
      <c r="T162" s="3" t="str">
        <f>IF(FinancialAnalysis[[#This Row],[Operating Profit]]&gt;0,"Profitable","Not Profitable")</f>
        <v>Profitable</v>
      </c>
    </row>
    <row r="163" spans="1:20" x14ac:dyDescent="0.3">
      <c r="A163" t="s">
        <v>20</v>
      </c>
      <c r="B163" t="s">
        <v>28</v>
      </c>
      <c r="C163" t="s">
        <v>29</v>
      </c>
      <c r="D163" s="1">
        <v>1405</v>
      </c>
      <c r="E163" s="3">
        <v>46</v>
      </c>
      <c r="F163" s="2">
        <v>64630</v>
      </c>
      <c r="G163" s="3">
        <v>32457.185999999998</v>
      </c>
      <c r="H163" s="3">
        <v>3037.61</v>
      </c>
      <c r="I163" s="3">
        <v>6118</v>
      </c>
      <c r="J163" s="3">
        <v>3684</v>
      </c>
      <c r="K163" s="8">
        <v>1764.3989999999999</v>
      </c>
      <c r="L163" s="3">
        <f>SUM(FinancialAnalysis[[#This Row],[Marketing Expense]:[Other Expense]])</f>
        <v>14604.009</v>
      </c>
      <c r="M163" s="3">
        <f>FinancialAnalysis[[#This Row],[Revenue]]-FinancialAnalysis[[#This Row],[Cost of Goods Sold]]</f>
        <v>32172.814000000002</v>
      </c>
      <c r="N163" s="11">
        <f>FinancialAnalysis[[#This Row],[Gross Profit]]-FinancialAnalysis[[#This Row],[Total Operating Expenses]]</f>
        <v>17568.805</v>
      </c>
      <c r="O163" s="9">
        <f>FinancialAnalysis[[#This Row],[Gross Profit]]/FinancialAnalysis[[#This Row],[Revenue]]</f>
        <v>0.49780000000000002</v>
      </c>
      <c r="P163" s="9">
        <f>FinancialAnalysis[[#This Row],[Operating Profit]]/FinancialAnalysis[[#This Row],[Revenue]]</f>
        <v>0.27183668574965186</v>
      </c>
      <c r="Q163" s="4">
        <f>FinancialAnalysis[[#This Row],[Revenue]]/FinancialAnalysis[[#This Row],[Units Sold]]</f>
        <v>46</v>
      </c>
      <c r="R163" s="4">
        <f>FinancialAnalysis[[#This Row],[Cost of Goods Sold]]/FinancialAnalysis[[#This Row],[Units Sold]]</f>
        <v>23.101199999999999</v>
      </c>
      <c r="S163" s="9">
        <f>FinancialAnalysis[[#This Row],[Total Operating Expenses]]/FinancialAnalysis[[#This Row],[Revenue]]</f>
        <v>0.22596331425034813</v>
      </c>
      <c r="T163" s="3" t="str">
        <f>IF(FinancialAnalysis[[#This Row],[Operating Profit]]&gt;0,"Profitable","Not Profitable")</f>
        <v>Profitable</v>
      </c>
    </row>
    <row r="164" spans="1:20" x14ac:dyDescent="0.3">
      <c r="A164" t="s">
        <v>20</v>
      </c>
      <c r="B164" t="s">
        <v>28</v>
      </c>
      <c r="C164" t="s">
        <v>24</v>
      </c>
      <c r="D164" s="1">
        <v>1620</v>
      </c>
      <c r="E164" s="3">
        <v>106</v>
      </c>
      <c r="F164" s="2">
        <v>171720</v>
      </c>
      <c r="G164" s="3">
        <v>86048.891999999993</v>
      </c>
      <c r="H164" s="3">
        <v>6010.2000000000007</v>
      </c>
      <c r="I164" s="3">
        <v>9079</v>
      </c>
      <c r="J164" s="3">
        <v>5845</v>
      </c>
      <c r="K164" s="8">
        <v>8139.5280000000002</v>
      </c>
      <c r="L164" s="3">
        <f>SUM(FinancialAnalysis[[#This Row],[Marketing Expense]:[Other Expense]])</f>
        <v>29073.728000000003</v>
      </c>
      <c r="M164" s="3">
        <f>FinancialAnalysis[[#This Row],[Revenue]]-FinancialAnalysis[[#This Row],[Cost of Goods Sold]]</f>
        <v>85671.108000000007</v>
      </c>
      <c r="N164" s="11">
        <f>FinancialAnalysis[[#This Row],[Gross Profit]]-FinancialAnalysis[[#This Row],[Total Operating Expenses]]</f>
        <v>56597.380000000005</v>
      </c>
      <c r="O164" s="9">
        <f>FinancialAnalysis[[#This Row],[Gross Profit]]/FinancialAnalysis[[#This Row],[Revenue]]</f>
        <v>0.49890000000000007</v>
      </c>
      <c r="P164" s="9">
        <f>FinancialAnalysis[[#This Row],[Operating Profit]]/FinancialAnalysis[[#This Row],[Revenue]]</f>
        <v>0.32959107849988356</v>
      </c>
      <c r="Q164" s="4">
        <f>FinancialAnalysis[[#This Row],[Revenue]]/FinancialAnalysis[[#This Row],[Units Sold]]</f>
        <v>106</v>
      </c>
      <c r="R164" s="4">
        <f>FinancialAnalysis[[#This Row],[Cost of Goods Sold]]/FinancialAnalysis[[#This Row],[Units Sold]]</f>
        <v>53.116599999999998</v>
      </c>
      <c r="S164" s="9">
        <f>FinancialAnalysis[[#This Row],[Total Operating Expenses]]/FinancialAnalysis[[#This Row],[Revenue]]</f>
        <v>0.16930892150011648</v>
      </c>
      <c r="T164" s="3" t="str">
        <f>IF(FinancialAnalysis[[#This Row],[Operating Profit]]&gt;0,"Profitable","Not Profitable")</f>
        <v>Profitable</v>
      </c>
    </row>
    <row r="165" spans="1:20" x14ac:dyDescent="0.3">
      <c r="A165" t="s">
        <v>20</v>
      </c>
      <c r="B165" t="s">
        <v>28</v>
      </c>
      <c r="C165" t="s">
        <v>25</v>
      </c>
      <c r="D165" s="1">
        <v>2111</v>
      </c>
      <c r="E165" s="3">
        <v>506</v>
      </c>
      <c r="F165" s="2">
        <v>1068166</v>
      </c>
      <c r="G165" s="3">
        <v>774420.35</v>
      </c>
      <c r="H165" s="3">
        <v>25208.7176</v>
      </c>
      <c r="I165" s="3">
        <v>12393</v>
      </c>
      <c r="J165" s="3">
        <v>6143</v>
      </c>
      <c r="K165" s="8">
        <v>42406.190199999997</v>
      </c>
      <c r="L165" s="3">
        <f>SUM(FinancialAnalysis[[#This Row],[Marketing Expense]:[Other Expense]])</f>
        <v>86150.907800000001</v>
      </c>
      <c r="M165" s="3">
        <f>FinancialAnalysis[[#This Row],[Revenue]]-FinancialAnalysis[[#This Row],[Cost of Goods Sold]]</f>
        <v>293745.65000000002</v>
      </c>
      <c r="N165" s="11">
        <f>FinancialAnalysis[[#This Row],[Gross Profit]]-FinancialAnalysis[[#This Row],[Total Operating Expenses]]</f>
        <v>207594.74220000004</v>
      </c>
      <c r="O165" s="9">
        <f>FinancialAnalysis[[#This Row],[Gross Profit]]/FinancialAnalysis[[#This Row],[Revenue]]</f>
        <v>0.27500000000000002</v>
      </c>
      <c r="P165" s="9">
        <f>FinancialAnalysis[[#This Row],[Operating Profit]]/FinancialAnalysis[[#This Row],[Revenue]]</f>
        <v>0.19434689196248528</v>
      </c>
      <c r="Q165" s="4">
        <f>FinancialAnalysis[[#This Row],[Revenue]]/FinancialAnalysis[[#This Row],[Units Sold]]</f>
        <v>506</v>
      </c>
      <c r="R165" s="4">
        <f>FinancialAnalysis[[#This Row],[Cost of Goods Sold]]/FinancialAnalysis[[#This Row],[Units Sold]]</f>
        <v>366.84999999999997</v>
      </c>
      <c r="S165" s="9">
        <f>FinancialAnalysis[[#This Row],[Total Operating Expenses]]/FinancialAnalysis[[#This Row],[Revenue]]</f>
        <v>8.065310803751477E-2</v>
      </c>
      <c r="T165" s="3" t="str">
        <f>IF(FinancialAnalysis[[#This Row],[Operating Profit]]&gt;0,"Profitable","Not Profitable")</f>
        <v>Profitable</v>
      </c>
    </row>
    <row r="166" spans="1:20" x14ac:dyDescent="0.3">
      <c r="A166" t="s">
        <v>20</v>
      </c>
      <c r="B166" t="s">
        <v>28</v>
      </c>
      <c r="C166" t="s">
        <v>26</v>
      </c>
      <c r="D166" s="1">
        <v>1786</v>
      </c>
      <c r="E166" s="3">
        <v>34</v>
      </c>
      <c r="F166" s="2">
        <v>60724</v>
      </c>
      <c r="G166" s="3">
        <v>29432.9228</v>
      </c>
      <c r="H166" s="3">
        <v>1256.9867999999999</v>
      </c>
      <c r="I166" s="3">
        <v>7842</v>
      </c>
      <c r="J166" s="3">
        <v>3214</v>
      </c>
      <c r="K166" s="8">
        <v>1639.548</v>
      </c>
      <c r="L166" s="3">
        <f>SUM(FinancialAnalysis[[#This Row],[Marketing Expense]:[Other Expense]])</f>
        <v>13952.534800000001</v>
      </c>
      <c r="M166" s="3">
        <f>FinancialAnalysis[[#This Row],[Revenue]]-FinancialAnalysis[[#This Row],[Cost of Goods Sold]]</f>
        <v>31291.0772</v>
      </c>
      <c r="N166" s="11">
        <f>FinancialAnalysis[[#This Row],[Gross Profit]]-FinancialAnalysis[[#This Row],[Total Operating Expenses]]</f>
        <v>17338.542399999998</v>
      </c>
      <c r="O166" s="9">
        <f>FinancialAnalysis[[#This Row],[Gross Profit]]/FinancialAnalysis[[#This Row],[Revenue]]</f>
        <v>0.51529999999999998</v>
      </c>
      <c r="P166" s="9">
        <f>FinancialAnalysis[[#This Row],[Operating Profit]]/FinancialAnalysis[[#This Row],[Revenue]]</f>
        <v>0.28553030762136877</v>
      </c>
      <c r="Q166" s="4">
        <f>FinancialAnalysis[[#This Row],[Revenue]]/FinancialAnalysis[[#This Row],[Units Sold]]</f>
        <v>34</v>
      </c>
      <c r="R166" s="4">
        <f>FinancialAnalysis[[#This Row],[Cost of Goods Sold]]/FinancialAnalysis[[#This Row],[Units Sold]]</f>
        <v>16.479800000000001</v>
      </c>
      <c r="S166" s="9">
        <f>FinancialAnalysis[[#This Row],[Total Operating Expenses]]/FinancialAnalysis[[#This Row],[Revenue]]</f>
        <v>0.22976969237863121</v>
      </c>
      <c r="T166" s="3" t="str">
        <f>IF(FinancialAnalysis[[#This Row],[Operating Profit]]&gt;0,"Profitable","Not Profitable")</f>
        <v>Profitable</v>
      </c>
    </row>
    <row r="167" spans="1:20" x14ac:dyDescent="0.3">
      <c r="A167" t="s">
        <v>21</v>
      </c>
      <c r="B167" t="s">
        <v>22</v>
      </c>
      <c r="C167" t="s">
        <v>23</v>
      </c>
      <c r="D167" s="1">
        <v>2136</v>
      </c>
      <c r="E167" s="3">
        <v>128</v>
      </c>
      <c r="F167" s="2">
        <v>273408</v>
      </c>
      <c r="G167" s="3">
        <v>164044.79999999999</v>
      </c>
      <c r="H167" s="3">
        <v>21872.639999999999</v>
      </c>
      <c r="I167" s="3">
        <v>5504</v>
      </c>
      <c r="J167" s="3">
        <v>2178</v>
      </c>
      <c r="K167" s="8">
        <v>5714.2272000000003</v>
      </c>
      <c r="L167" s="3">
        <f>SUM(FinancialAnalysis[[#This Row],[Marketing Expense]:[Other Expense]])</f>
        <v>35268.867200000001</v>
      </c>
      <c r="M167" s="3">
        <f>FinancialAnalysis[[#This Row],[Revenue]]-FinancialAnalysis[[#This Row],[Cost of Goods Sold]]</f>
        <v>109363.20000000001</v>
      </c>
      <c r="N167" s="11">
        <f>FinancialAnalysis[[#This Row],[Gross Profit]]-FinancialAnalysis[[#This Row],[Total Operating Expenses]]</f>
        <v>74094.332800000004</v>
      </c>
      <c r="O167" s="9">
        <f>FinancialAnalysis[[#This Row],[Gross Profit]]/FinancialAnalysis[[#This Row],[Revenue]]</f>
        <v>0.4</v>
      </c>
      <c r="P167" s="9">
        <f>FinancialAnalysis[[#This Row],[Operating Profit]]/FinancialAnalysis[[#This Row],[Revenue]]</f>
        <v>0.27100279728464421</v>
      </c>
      <c r="Q167" s="4">
        <f>FinancialAnalysis[[#This Row],[Revenue]]/FinancialAnalysis[[#This Row],[Units Sold]]</f>
        <v>128</v>
      </c>
      <c r="R167" s="4">
        <f>FinancialAnalysis[[#This Row],[Cost of Goods Sold]]/FinancialAnalysis[[#This Row],[Units Sold]]</f>
        <v>76.8</v>
      </c>
      <c r="S167" s="9">
        <f>FinancialAnalysis[[#This Row],[Total Operating Expenses]]/FinancialAnalysis[[#This Row],[Revenue]]</f>
        <v>0.12899720271535581</v>
      </c>
      <c r="T167" s="3" t="str">
        <f>IF(FinancialAnalysis[[#This Row],[Operating Profit]]&gt;0,"Profitable","Not Profitable")</f>
        <v>Profitable</v>
      </c>
    </row>
    <row r="168" spans="1:20" x14ac:dyDescent="0.3">
      <c r="A168" t="s">
        <v>21</v>
      </c>
      <c r="B168" t="s">
        <v>22</v>
      </c>
      <c r="C168" t="s">
        <v>29</v>
      </c>
      <c r="D168" s="1">
        <v>1055</v>
      </c>
      <c r="E168" s="3">
        <v>67</v>
      </c>
      <c r="F168" s="2">
        <v>70685</v>
      </c>
      <c r="G168" s="3">
        <v>32557.511000000002</v>
      </c>
      <c r="H168" s="3">
        <v>5025.7034999999996</v>
      </c>
      <c r="I168" s="3">
        <v>9441</v>
      </c>
      <c r="J168" s="3">
        <v>2423</v>
      </c>
      <c r="K168" s="8">
        <v>3067.7289999999998</v>
      </c>
      <c r="L168" s="3">
        <f>SUM(FinancialAnalysis[[#This Row],[Marketing Expense]:[Other Expense]])</f>
        <v>19957.432499999999</v>
      </c>
      <c r="M168" s="3">
        <f>FinancialAnalysis[[#This Row],[Revenue]]-FinancialAnalysis[[#This Row],[Cost of Goods Sold]]</f>
        <v>38127.489000000001</v>
      </c>
      <c r="N168" s="11">
        <f>FinancialAnalysis[[#This Row],[Gross Profit]]-FinancialAnalysis[[#This Row],[Total Operating Expenses]]</f>
        <v>18170.056500000002</v>
      </c>
      <c r="O168" s="9">
        <f>FinancialAnalysis[[#This Row],[Gross Profit]]/FinancialAnalysis[[#This Row],[Revenue]]</f>
        <v>0.53939999999999999</v>
      </c>
      <c r="P168" s="9">
        <f>FinancialAnalysis[[#This Row],[Operating Profit]]/FinancialAnalysis[[#This Row],[Revenue]]</f>
        <v>0.25705675178609327</v>
      </c>
      <c r="Q168" s="4">
        <f>FinancialAnalysis[[#This Row],[Revenue]]/FinancialAnalysis[[#This Row],[Units Sold]]</f>
        <v>67</v>
      </c>
      <c r="R168" s="4">
        <f>FinancialAnalysis[[#This Row],[Cost of Goods Sold]]/FinancialAnalysis[[#This Row],[Units Sold]]</f>
        <v>30.860200000000003</v>
      </c>
      <c r="S168" s="9">
        <f>FinancialAnalysis[[#This Row],[Total Operating Expenses]]/FinancialAnalysis[[#This Row],[Revenue]]</f>
        <v>0.28234324821390677</v>
      </c>
      <c r="T168" s="3" t="str">
        <f>IF(FinancialAnalysis[[#This Row],[Operating Profit]]&gt;0,"Profitable","Not Profitable")</f>
        <v>Profitable</v>
      </c>
    </row>
    <row r="169" spans="1:20" x14ac:dyDescent="0.3">
      <c r="A169" t="s">
        <v>21</v>
      </c>
      <c r="B169" t="s">
        <v>22</v>
      </c>
      <c r="C169" t="s">
        <v>24</v>
      </c>
      <c r="D169" s="1">
        <v>1253</v>
      </c>
      <c r="E169" s="3">
        <v>56</v>
      </c>
      <c r="F169" s="2">
        <v>70168</v>
      </c>
      <c r="G169" s="3">
        <v>36739.964799999994</v>
      </c>
      <c r="H169" s="3">
        <v>7164.1527999999998</v>
      </c>
      <c r="I169" s="3">
        <v>5604</v>
      </c>
      <c r="J169" s="3">
        <v>1025</v>
      </c>
      <c r="K169" s="8">
        <v>2378.6952000000001</v>
      </c>
      <c r="L169" s="3">
        <f>SUM(FinancialAnalysis[[#This Row],[Marketing Expense]:[Other Expense]])</f>
        <v>16171.848</v>
      </c>
      <c r="M169" s="3">
        <f>FinancialAnalysis[[#This Row],[Revenue]]-FinancialAnalysis[[#This Row],[Cost of Goods Sold]]</f>
        <v>33428.035200000006</v>
      </c>
      <c r="N169" s="11">
        <f>FinancialAnalysis[[#This Row],[Gross Profit]]-FinancialAnalysis[[#This Row],[Total Operating Expenses]]</f>
        <v>17256.187200000008</v>
      </c>
      <c r="O169" s="9">
        <f>FinancialAnalysis[[#This Row],[Gross Profit]]/FinancialAnalysis[[#This Row],[Revenue]]</f>
        <v>0.4764000000000001</v>
      </c>
      <c r="P169" s="9">
        <f>FinancialAnalysis[[#This Row],[Operating Profit]]/FinancialAnalysis[[#This Row],[Revenue]]</f>
        <v>0.24592673583399852</v>
      </c>
      <c r="Q169" s="4">
        <f>FinancialAnalysis[[#This Row],[Revenue]]/FinancialAnalysis[[#This Row],[Units Sold]]</f>
        <v>56</v>
      </c>
      <c r="R169" s="4">
        <f>FinancialAnalysis[[#This Row],[Cost of Goods Sold]]/FinancialAnalysis[[#This Row],[Units Sold]]</f>
        <v>29.321599999999997</v>
      </c>
      <c r="S169" s="9">
        <f>FinancialAnalysis[[#This Row],[Total Operating Expenses]]/FinancialAnalysis[[#This Row],[Revenue]]</f>
        <v>0.23047326416600158</v>
      </c>
      <c r="T169" s="3" t="str">
        <f>IF(FinancialAnalysis[[#This Row],[Operating Profit]]&gt;0,"Profitable","Not Profitable")</f>
        <v>Profitable</v>
      </c>
    </row>
    <row r="170" spans="1:20" x14ac:dyDescent="0.3">
      <c r="A170" t="s">
        <v>21</v>
      </c>
      <c r="B170" t="s">
        <v>22</v>
      </c>
      <c r="C170" t="s">
        <v>25</v>
      </c>
      <c r="D170" s="1">
        <v>2021</v>
      </c>
      <c r="E170" s="3">
        <v>506</v>
      </c>
      <c r="F170" s="2">
        <v>1022626</v>
      </c>
      <c r="G170" s="3">
        <v>688431.82319999998</v>
      </c>
      <c r="H170" s="3">
        <v>118011.0404</v>
      </c>
      <c r="I170" s="3">
        <v>5154</v>
      </c>
      <c r="J170" s="3">
        <v>3726</v>
      </c>
      <c r="K170" s="8">
        <v>40495.989600000001</v>
      </c>
      <c r="L170" s="3">
        <f>SUM(FinancialAnalysis[[#This Row],[Marketing Expense]:[Other Expense]])</f>
        <v>167387.03</v>
      </c>
      <c r="M170" s="3">
        <f>FinancialAnalysis[[#This Row],[Revenue]]-FinancialAnalysis[[#This Row],[Cost of Goods Sold]]</f>
        <v>334194.17680000002</v>
      </c>
      <c r="N170" s="11">
        <f>FinancialAnalysis[[#This Row],[Gross Profit]]-FinancialAnalysis[[#This Row],[Total Operating Expenses]]</f>
        <v>166807.14680000002</v>
      </c>
      <c r="O170" s="9">
        <f>FinancialAnalysis[[#This Row],[Gross Profit]]/FinancialAnalysis[[#This Row],[Revenue]]</f>
        <v>0.32680000000000003</v>
      </c>
      <c r="P170" s="9">
        <f>FinancialAnalysis[[#This Row],[Operating Profit]]/FinancialAnalysis[[#This Row],[Revenue]]</f>
        <v>0.16311647347123975</v>
      </c>
      <c r="Q170" s="4">
        <f>FinancialAnalysis[[#This Row],[Revenue]]/FinancialAnalysis[[#This Row],[Units Sold]]</f>
        <v>506</v>
      </c>
      <c r="R170" s="4">
        <f>FinancialAnalysis[[#This Row],[Cost of Goods Sold]]/FinancialAnalysis[[#This Row],[Units Sold]]</f>
        <v>340.63920000000002</v>
      </c>
      <c r="S170" s="9">
        <f>FinancialAnalysis[[#This Row],[Total Operating Expenses]]/FinancialAnalysis[[#This Row],[Revenue]]</f>
        <v>0.16368352652876028</v>
      </c>
      <c r="T170" s="3" t="str">
        <f>IF(FinancialAnalysis[[#This Row],[Operating Profit]]&gt;0,"Profitable","Not Profitable")</f>
        <v>Profitable</v>
      </c>
    </row>
    <row r="171" spans="1:20" x14ac:dyDescent="0.3">
      <c r="A171" t="s">
        <v>21</v>
      </c>
      <c r="B171" t="s">
        <v>22</v>
      </c>
      <c r="C171" t="s">
        <v>26</v>
      </c>
      <c r="D171" s="1">
        <v>1293</v>
      </c>
      <c r="E171" s="3">
        <v>48</v>
      </c>
      <c r="F171" s="2">
        <v>62064</v>
      </c>
      <c r="G171" s="3">
        <v>36890.8416</v>
      </c>
      <c r="H171" s="3">
        <v>5629.2048000000004</v>
      </c>
      <c r="I171" s="3">
        <v>11807</v>
      </c>
      <c r="J171" s="3">
        <v>1344</v>
      </c>
      <c r="K171" s="8">
        <v>3401.1071999999999</v>
      </c>
      <c r="L171" s="3">
        <f>SUM(FinancialAnalysis[[#This Row],[Marketing Expense]:[Other Expense]])</f>
        <v>22181.311999999998</v>
      </c>
      <c r="M171" s="3">
        <f>FinancialAnalysis[[#This Row],[Revenue]]-FinancialAnalysis[[#This Row],[Cost of Goods Sold]]</f>
        <v>25173.1584</v>
      </c>
      <c r="N171" s="11">
        <f>FinancialAnalysis[[#This Row],[Gross Profit]]-FinancialAnalysis[[#This Row],[Total Operating Expenses]]</f>
        <v>2991.8464000000022</v>
      </c>
      <c r="O171" s="9">
        <f>FinancialAnalysis[[#This Row],[Gross Profit]]/FinancialAnalysis[[#This Row],[Revenue]]</f>
        <v>0.40560000000000002</v>
      </c>
      <c r="P171" s="9">
        <f>FinancialAnalysis[[#This Row],[Operating Profit]]/FinancialAnalysis[[#This Row],[Revenue]]</f>
        <v>4.8205826243877321E-2</v>
      </c>
      <c r="Q171" s="4">
        <f>FinancialAnalysis[[#This Row],[Revenue]]/FinancialAnalysis[[#This Row],[Units Sold]]</f>
        <v>48</v>
      </c>
      <c r="R171" s="4">
        <f>FinancialAnalysis[[#This Row],[Cost of Goods Sold]]/FinancialAnalysis[[#This Row],[Units Sold]]</f>
        <v>28.531199999999998</v>
      </c>
      <c r="S171" s="9">
        <f>FinancialAnalysis[[#This Row],[Total Operating Expenses]]/FinancialAnalysis[[#This Row],[Revenue]]</f>
        <v>0.3573941737561227</v>
      </c>
      <c r="T171" s="3" t="str">
        <f>IF(FinancialAnalysis[[#This Row],[Operating Profit]]&gt;0,"Profitable","Not Profitable")</f>
        <v>Profitable</v>
      </c>
    </row>
    <row r="172" spans="1:20" x14ac:dyDescent="0.3">
      <c r="A172" t="s">
        <v>21</v>
      </c>
      <c r="B172" t="s">
        <v>27</v>
      </c>
      <c r="C172" t="s">
        <v>23</v>
      </c>
      <c r="D172" s="1">
        <v>976</v>
      </c>
      <c r="E172" s="3">
        <v>162</v>
      </c>
      <c r="F172" s="2">
        <v>158112</v>
      </c>
      <c r="G172" s="3">
        <v>95736.816000000006</v>
      </c>
      <c r="H172" s="3">
        <v>10451.203200000002</v>
      </c>
      <c r="I172" s="3">
        <v>18001</v>
      </c>
      <c r="J172" s="3">
        <v>11438</v>
      </c>
      <c r="K172" s="8">
        <v>3351.9744000000001</v>
      </c>
      <c r="L172" s="3">
        <f>SUM(FinancialAnalysis[[#This Row],[Marketing Expense]:[Other Expense]])</f>
        <v>43242.177600000003</v>
      </c>
      <c r="M172" s="3">
        <f>FinancialAnalysis[[#This Row],[Revenue]]-FinancialAnalysis[[#This Row],[Cost of Goods Sold]]</f>
        <v>62375.183999999994</v>
      </c>
      <c r="N172" s="11">
        <f>FinancialAnalysis[[#This Row],[Gross Profit]]-FinancialAnalysis[[#This Row],[Total Operating Expenses]]</f>
        <v>19133.006399999991</v>
      </c>
      <c r="O172" s="9">
        <f>FinancialAnalysis[[#This Row],[Gross Profit]]/FinancialAnalysis[[#This Row],[Revenue]]</f>
        <v>0.39449999999999996</v>
      </c>
      <c r="P172" s="9">
        <f>FinancialAnalysis[[#This Row],[Operating Profit]]/FinancialAnalysis[[#This Row],[Revenue]]</f>
        <v>0.12100919854280505</v>
      </c>
      <c r="Q172" s="4">
        <f>FinancialAnalysis[[#This Row],[Revenue]]/FinancialAnalysis[[#This Row],[Units Sold]]</f>
        <v>162</v>
      </c>
      <c r="R172" s="4">
        <f>FinancialAnalysis[[#This Row],[Cost of Goods Sold]]/FinancialAnalysis[[#This Row],[Units Sold]]</f>
        <v>98.091000000000008</v>
      </c>
      <c r="S172" s="9">
        <f>FinancialAnalysis[[#This Row],[Total Operating Expenses]]/FinancialAnalysis[[#This Row],[Revenue]]</f>
        <v>0.2734908014571949</v>
      </c>
      <c r="T172" s="3" t="str">
        <f>IF(FinancialAnalysis[[#This Row],[Operating Profit]]&gt;0,"Profitable","Not Profitable")</f>
        <v>Profitable</v>
      </c>
    </row>
    <row r="173" spans="1:20" x14ac:dyDescent="0.3">
      <c r="A173" t="s">
        <v>21</v>
      </c>
      <c r="B173" t="s">
        <v>27</v>
      </c>
      <c r="C173" t="s">
        <v>29</v>
      </c>
      <c r="D173" s="1">
        <v>785</v>
      </c>
      <c r="E173" s="3">
        <v>52</v>
      </c>
      <c r="F173" s="2">
        <v>40820</v>
      </c>
      <c r="G173" s="3">
        <v>23687.846000000001</v>
      </c>
      <c r="H173" s="3">
        <v>1318.4860000000001</v>
      </c>
      <c r="I173" s="3">
        <v>14058</v>
      </c>
      <c r="J173" s="3">
        <v>6272</v>
      </c>
      <c r="K173" s="8">
        <v>1751.1780000000001</v>
      </c>
      <c r="L173" s="3">
        <f>SUM(FinancialAnalysis[[#This Row],[Marketing Expense]:[Other Expense]])</f>
        <v>23399.664000000001</v>
      </c>
      <c r="M173" s="3">
        <f>FinancialAnalysis[[#This Row],[Revenue]]-FinancialAnalysis[[#This Row],[Cost of Goods Sold]]</f>
        <v>17132.153999999999</v>
      </c>
      <c r="N173" s="11">
        <f>FinancialAnalysis[[#This Row],[Gross Profit]]-FinancialAnalysis[[#This Row],[Total Operating Expenses]]</f>
        <v>-6267.510000000002</v>
      </c>
      <c r="O173" s="9">
        <f>FinancialAnalysis[[#This Row],[Gross Profit]]/FinancialAnalysis[[#This Row],[Revenue]]</f>
        <v>0.41969999999999996</v>
      </c>
      <c r="P173" s="9">
        <f>FinancialAnalysis[[#This Row],[Operating Profit]]/FinancialAnalysis[[#This Row],[Revenue]]</f>
        <v>-0.15354017638412548</v>
      </c>
      <c r="Q173" s="4">
        <f>FinancialAnalysis[[#This Row],[Revenue]]/FinancialAnalysis[[#This Row],[Units Sold]]</f>
        <v>52</v>
      </c>
      <c r="R173" s="4">
        <f>FinancialAnalysis[[#This Row],[Cost of Goods Sold]]/FinancialAnalysis[[#This Row],[Units Sold]]</f>
        <v>30.175600000000003</v>
      </c>
      <c r="S173" s="9">
        <f>FinancialAnalysis[[#This Row],[Total Operating Expenses]]/FinancialAnalysis[[#This Row],[Revenue]]</f>
        <v>0.5732401763841255</v>
      </c>
      <c r="T173" s="3" t="str">
        <f>IF(FinancialAnalysis[[#This Row],[Operating Profit]]&gt;0,"Profitable","Not Profitable")</f>
        <v>Not Profitable</v>
      </c>
    </row>
    <row r="174" spans="1:20" x14ac:dyDescent="0.3">
      <c r="A174" t="s">
        <v>21</v>
      </c>
      <c r="B174" t="s">
        <v>27</v>
      </c>
      <c r="C174" t="s">
        <v>24</v>
      </c>
      <c r="D174" s="1">
        <v>1070</v>
      </c>
      <c r="E174" s="3">
        <v>92</v>
      </c>
      <c r="F174" s="2">
        <v>98440</v>
      </c>
      <c r="G174" s="3">
        <v>59339.631999999998</v>
      </c>
      <c r="H174" s="3">
        <v>3730.8760000000002</v>
      </c>
      <c r="I174" s="3">
        <v>16309</v>
      </c>
      <c r="J174" s="3">
        <v>6912</v>
      </c>
      <c r="K174" s="8">
        <v>2244.4319999999998</v>
      </c>
      <c r="L174" s="3">
        <f>SUM(FinancialAnalysis[[#This Row],[Marketing Expense]:[Other Expense]])</f>
        <v>29196.308000000001</v>
      </c>
      <c r="M174" s="3">
        <f>FinancialAnalysis[[#This Row],[Revenue]]-FinancialAnalysis[[#This Row],[Cost of Goods Sold]]</f>
        <v>39100.368000000002</v>
      </c>
      <c r="N174" s="11">
        <f>FinancialAnalysis[[#This Row],[Gross Profit]]-FinancialAnalysis[[#This Row],[Total Operating Expenses]]</f>
        <v>9904.0600000000013</v>
      </c>
      <c r="O174" s="9">
        <f>FinancialAnalysis[[#This Row],[Gross Profit]]/FinancialAnalysis[[#This Row],[Revenue]]</f>
        <v>0.3972</v>
      </c>
      <c r="P174" s="9">
        <f>FinancialAnalysis[[#This Row],[Operating Profit]]/FinancialAnalysis[[#This Row],[Revenue]]</f>
        <v>0.10061011783827714</v>
      </c>
      <c r="Q174" s="4">
        <f>FinancialAnalysis[[#This Row],[Revenue]]/FinancialAnalysis[[#This Row],[Units Sold]]</f>
        <v>92</v>
      </c>
      <c r="R174" s="4">
        <f>FinancialAnalysis[[#This Row],[Cost of Goods Sold]]/FinancialAnalysis[[#This Row],[Units Sold]]</f>
        <v>55.457599999999999</v>
      </c>
      <c r="S174" s="9">
        <f>FinancialAnalysis[[#This Row],[Total Operating Expenses]]/FinancialAnalysis[[#This Row],[Revenue]]</f>
        <v>0.29658988216172288</v>
      </c>
      <c r="T174" s="3" t="str">
        <f>IF(FinancialAnalysis[[#This Row],[Operating Profit]]&gt;0,"Profitable","Not Profitable")</f>
        <v>Profitable</v>
      </c>
    </row>
    <row r="175" spans="1:20" x14ac:dyDescent="0.3">
      <c r="A175" t="s">
        <v>21</v>
      </c>
      <c r="B175" t="s">
        <v>27</v>
      </c>
      <c r="C175" t="s">
        <v>25</v>
      </c>
      <c r="D175" s="1">
        <v>1280</v>
      </c>
      <c r="E175" s="3">
        <v>324</v>
      </c>
      <c r="F175" s="2">
        <v>414720</v>
      </c>
      <c r="G175" s="3">
        <v>267784.70400000003</v>
      </c>
      <c r="H175" s="3">
        <v>18040.32</v>
      </c>
      <c r="I175" s="3">
        <v>16959</v>
      </c>
      <c r="J175" s="3">
        <v>11097</v>
      </c>
      <c r="K175" s="8">
        <v>14017.536</v>
      </c>
      <c r="L175" s="3">
        <f>SUM(FinancialAnalysis[[#This Row],[Marketing Expense]:[Other Expense]])</f>
        <v>60113.856</v>
      </c>
      <c r="M175" s="3">
        <f>FinancialAnalysis[[#This Row],[Revenue]]-FinancialAnalysis[[#This Row],[Cost of Goods Sold]]</f>
        <v>146935.29599999997</v>
      </c>
      <c r="N175" s="11">
        <f>FinancialAnalysis[[#This Row],[Gross Profit]]-FinancialAnalysis[[#This Row],[Total Operating Expenses]]</f>
        <v>86821.439999999973</v>
      </c>
      <c r="O175" s="9">
        <f>FinancialAnalysis[[#This Row],[Gross Profit]]/FinancialAnalysis[[#This Row],[Revenue]]</f>
        <v>0.35429999999999995</v>
      </c>
      <c r="P175" s="9">
        <f>FinancialAnalysis[[#This Row],[Operating Profit]]/FinancialAnalysis[[#This Row],[Revenue]]</f>
        <v>0.20934953703703696</v>
      </c>
      <c r="Q175" s="4">
        <f>FinancialAnalysis[[#This Row],[Revenue]]/FinancialAnalysis[[#This Row],[Units Sold]]</f>
        <v>324</v>
      </c>
      <c r="R175" s="4">
        <f>FinancialAnalysis[[#This Row],[Cost of Goods Sold]]/FinancialAnalysis[[#This Row],[Units Sold]]</f>
        <v>209.20680000000002</v>
      </c>
      <c r="S175" s="9">
        <f>FinancialAnalysis[[#This Row],[Total Operating Expenses]]/FinancialAnalysis[[#This Row],[Revenue]]</f>
        <v>0.14495046296296296</v>
      </c>
      <c r="T175" s="3" t="str">
        <f>IF(FinancialAnalysis[[#This Row],[Operating Profit]]&gt;0,"Profitable","Not Profitable")</f>
        <v>Profitable</v>
      </c>
    </row>
    <row r="176" spans="1:20" x14ac:dyDescent="0.3">
      <c r="A176" t="s">
        <v>21</v>
      </c>
      <c r="B176" t="s">
        <v>27</v>
      </c>
      <c r="C176" t="s">
        <v>26</v>
      </c>
      <c r="D176" s="1">
        <v>737</v>
      </c>
      <c r="E176" s="3">
        <v>33</v>
      </c>
      <c r="F176" s="2">
        <v>24321</v>
      </c>
      <c r="G176" s="3">
        <v>15993.489599999999</v>
      </c>
      <c r="H176" s="3">
        <v>967.97580000000005</v>
      </c>
      <c r="I176" s="3">
        <v>16247</v>
      </c>
      <c r="J176" s="3">
        <v>12134</v>
      </c>
      <c r="K176" s="8">
        <v>1096.8770999999999</v>
      </c>
      <c r="L176" s="3">
        <f>SUM(FinancialAnalysis[[#This Row],[Marketing Expense]:[Other Expense]])</f>
        <v>30445.852900000002</v>
      </c>
      <c r="M176" s="3">
        <f>FinancialAnalysis[[#This Row],[Revenue]]-FinancialAnalysis[[#This Row],[Cost of Goods Sold]]</f>
        <v>8327.510400000001</v>
      </c>
      <c r="N176" s="11">
        <f>FinancialAnalysis[[#This Row],[Gross Profit]]-FinancialAnalysis[[#This Row],[Total Operating Expenses]]</f>
        <v>-22118.342499999999</v>
      </c>
      <c r="O176" s="9">
        <f>FinancialAnalysis[[#This Row],[Gross Profit]]/FinancialAnalysis[[#This Row],[Revenue]]</f>
        <v>0.34240000000000004</v>
      </c>
      <c r="P176" s="9">
        <f>FinancialAnalysis[[#This Row],[Operating Profit]]/FinancialAnalysis[[#This Row],[Revenue]]</f>
        <v>-0.90943392541425105</v>
      </c>
      <c r="Q176" s="4">
        <f>FinancialAnalysis[[#This Row],[Revenue]]/FinancialAnalysis[[#This Row],[Units Sold]]</f>
        <v>33</v>
      </c>
      <c r="R176" s="4">
        <f>FinancialAnalysis[[#This Row],[Cost of Goods Sold]]/FinancialAnalysis[[#This Row],[Units Sold]]</f>
        <v>21.700799999999997</v>
      </c>
      <c r="S176" s="9">
        <f>FinancialAnalysis[[#This Row],[Total Operating Expenses]]/FinancialAnalysis[[#This Row],[Revenue]]</f>
        <v>1.2518339254142512</v>
      </c>
      <c r="T176" s="3" t="str">
        <f>IF(FinancialAnalysis[[#This Row],[Operating Profit]]&gt;0,"Profitable","Not Profitable")</f>
        <v>Not Profitable</v>
      </c>
    </row>
    <row r="177" spans="1:20" x14ac:dyDescent="0.3">
      <c r="A177" t="s">
        <v>21</v>
      </c>
      <c r="B177" t="s">
        <v>28</v>
      </c>
      <c r="C177" t="s">
        <v>23</v>
      </c>
      <c r="D177" s="1">
        <v>3215</v>
      </c>
      <c r="E177" s="3">
        <v>86</v>
      </c>
      <c r="F177" s="2">
        <v>276490</v>
      </c>
      <c r="G177" s="3">
        <v>190888.696</v>
      </c>
      <c r="H177" s="3">
        <v>9400.66</v>
      </c>
      <c r="I177" s="3">
        <v>9138</v>
      </c>
      <c r="J177" s="3">
        <v>3780</v>
      </c>
      <c r="K177" s="8">
        <v>12359.102999999999</v>
      </c>
      <c r="L177" s="3">
        <f>SUM(FinancialAnalysis[[#This Row],[Marketing Expense]:[Other Expense]])</f>
        <v>34677.762999999999</v>
      </c>
      <c r="M177" s="3">
        <f>FinancialAnalysis[[#This Row],[Revenue]]-FinancialAnalysis[[#This Row],[Cost of Goods Sold]]</f>
        <v>85601.304000000004</v>
      </c>
      <c r="N177" s="11">
        <f>FinancialAnalysis[[#This Row],[Gross Profit]]-FinancialAnalysis[[#This Row],[Total Operating Expenses]]</f>
        <v>50923.541000000005</v>
      </c>
      <c r="O177" s="9">
        <f>FinancialAnalysis[[#This Row],[Gross Profit]]/FinancialAnalysis[[#This Row],[Revenue]]</f>
        <v>0.30959999999999999</v>
      </c>
      <c r="P177" s="9">
        <f>FinancialAnalysis[[#This Row],[Operating Profit]]/FinancialAnalysis[[#This Row],[Revenue]]</f>
        <v>0.18417859958768854</v>
      </c>
      <c r="Q177" s="4">
        <f>FinancialAnalysis[[#This Row],[Revenue]]/FinancialAnalysis[[#This Row],[Units Sold]]</f>
        <v>86</v>
      </c>
      <c r="R177" s="4">
        <f>FinancialAnalysis[[#This Row],[Cost of Goods Sold]]/FinancialAnalysis[[#This Row],[Units Sold]]</f>
        <v>59.374400000000001</v>
      </c>
      <c r="S177" s="9">
        <f>FinancialAnalysis[[#This Row],[Total Operating Expenses]]/FinancialAnalysis[[#This Row],[Revenue]]</f>
        <v>0.12542140041231148</v>
      </c>
      <c r="T177" s="3" t="str">
        <f>IF(FinancialAnalysis[[#This Row],[Operating Profit]]&gt;0,"Profitable","Not Profitable")</f>
        <v>Profitable</v>
      </c>
    </row>
    <row r="178" spans="1:20" x14ac:dyDescent="0.3">
      <c r="A178" t="s">
        <v>21</v>
      </c>
      <c r="B178" t="s">
        <v>28</v>
      </c>
      <c r="C178" t="s">
        <v>29</v>
      </c>
      <c r="D178" s="1">
        <v>3012</v>
      </c>
      <c r="E178" s="3">
        <v>70</v>
      </c>
      <c r="F178" s="2">
        <v>210840</v>
      </c>
      <c r="G178" s="3">
        <v>120642.64800000002</v>
      </c>
      <c r="H178" s="3">
        <v>8370.348</v>
      </c>
      <c r="I178" s="3">
        <v>9176</v>
      </c>
      <c r="J178" s="3">
        <v>4543</v>
      </c>
      <c r="K178" s="8">
        <v>5502.924</v>
      </c>
      <c r="L178" s="3">
        <f>SUM(FinancialAnalysis[[#This Row],[Marketing Expense]:[Other Expense]])</f>
        <v>27592.271999999997</v>
      </c>
      <c r="M178" s="3">
        <f>FinancialAnalysis[[#This Row],[Revenue]]-FinancialAnalysis[[#This Row],[Cost of Goods Sold]]</f>
        <v>90197.351999999984</v>
      </c>
      <c r="N178" s="11">
        <f>FinancialAnalysis[[#This Row],[Gross Profit]]-FinancialAnalysis[[#This Row],[Total Operating Expenses]]</f>
        <v>62605.079999999987</v>
      </c>
      <c r="O178" s="9">
        <f>FinancialAnalysis[[#This Row],[Gross Profit]]/FinancialAnalysis[[#This Row],[Revenue]]</f>
        <v>0.4277999999999999</v>
      </c>
      <c r="P178" s="9">
        <f>FinancialAnalysis[[#This Row],[Operating Profit]]/FinancialAnalysis[[#This Row],[Revenue]]</f>
        <v>0.296931701764371</v>
      </c>
      <c r="Q178" s="4">
        <f>FinancialAnalysis[[#This Row],[Revenue]]/FinancialAnalysis[[#This Row],[Units Sold]]</f>
        <v>70</v>
      </c>
      <c r="R178" s="4">
        <f>FinancialAnalysis[[#This Row],[Cost of Goods Sold]]/FinancialAnalysis[[#This Row],[Units Sold]]</f>
        <v>40.054000000000002</v>
      </c>
      <c r="S178" s="9">
        <f>FinancialAnalysis[[#This Row],[Total Operating Expenses]]/FinancialAnalysis[[#This Row],[Revenue]]</f>
        <v>0.1308682982356289</v>
      </c>
      <c r="T178" s="3" t="str">
        <f>IF(FinancialAnalysis[[#This Row],[Operating Profit]]&gt;0,"Profitable","Not Profitable")</f>
        <v>Profitable</v>
      </c>
    </row>
    <row r="179" spans="1:20" x14ac:dyDescent="0.3">
      <c r="A179" t="s">
        <v>21</v>
      </c>
      <c r="B179" t="s">
        <v>28</v>
      </c>
      <c r="C179" t="s">
        <v>24</v>
      </c>
      <c r="D179" s="1">
        <v>2129</v>
      </c>
      <c r="E179" s="3">
        <v>106</v>
      </c>
      <c r="F179" s="2">
        <v>225674</v>
      </c>
      <c r="G179" s="3">
        <v>124639.75020000001</v>
      </c>
      <c r="H179" s="3">
        <v>10538.9758</v>
      </c>
      <c r="I179" s="3">
        <v>10913</v>
      </c>
      <c r="J179" s="3">
        <v>5694</v>
      </c>
      <c r="K179" s="8">
        <v>13450.170400000001</v>
      </c>
      <c r="L179" s="3">
        <f>SUM(FinancialAnalysis[[#This Row],[Marketing Expense]:[Other Expense]])</f>
        <v>40596.146200000003</v>
      </c>
      <c r="M179" s="3">
        <f>FinancialAnalysis[[#This Row],[Revenue]]-FinancialAnalysis[[#This Row],[Cost of Goods Sold]]</f>
        <v>101034.24979999999</v>
      </c>
      <c r="N179" s="11">
        <f>FinancialAnalysis[[#This Row],[Gross Profit]]-FinancialAnalysis[[#This Row],[Total Operating Expenses]]</f>
        <v>60438.103599999988</v>
      </c>
      <c r="O179" s="9">
        <f>FinancialAnalysis[[#This Row],[Gross Profit]]/FinancialAnalysis[[#This Row],[Revenue]]</f>
        <v>0.44769999999999993</v>
      </c>
      <c r="P179" s="9">
        <f>FinancialAnalysis[[#This Row],[Operating Profit]]/FinancialAnalysis[[#This Row],[Revenue]]</f>
        <v>0.26781154940312124</v>
      </c>
      <c r="Q179" s="4">
        <f>FinancialAnalysis[[#This Row],[Revenue]]/FinancialAnalysis[[#This Row],[Units Sold]]</f>
        <v>106</v>
      </c>
      <c r="R179" s="4">
        <f>FinancialAnalysis[[#This Row],[Cost of Goods Sold]]/FinancialAnalysis[[#This Row],[Units Sold]]</f>
        <v>58.543800000000005</v>
      </c>
      <c r="S179" s="9">
        <f>FinancialAnalysis[[#This Row],[Total Operating Expenses]]/FinancialAnalysis[[#This Row],[Revenue]]</f>
        <v>0.17988845059687869</v>
      </c>
      <c r="T179" s="3" t="str">
        <f>IF(FinancialAnalysis[[#This Row],[Operating Profit]]&gt;0,"Profitable","Not Profitable")</f>
        <v>Profitable</v>
      </c>
    </row>
    <row r="180" spans="1:20" x14ac:dyDescent="0.3">
      <c r="A180" t="s">
        <v>21</v>
      </c>
      <c r="B180" t="s">
        <v>28</v>
      </c>
      <c r="C180" t="s">
        <v>25</v>
      </c>
      <c r="D180" s="1">
        <v>2190</v>
      </c>
      <c r="E180" s="3">
        <v>458</v>
      </c>
      <c r="F180" s="2">
        <v>1003020</v>
      </c>
      <c r="G180" s="3">
        <v>624079.04399999999</v>
      </c>
      <c r="H180" s="3">
        <v>37412.646000000001</v>
      </c>
      <c r="I180" s="3">
        <v>6796</v>
      </c>
      <c r="J180" s="3">
        <v>3927</v>
      </c>
      <c r="K180" s="8">
        <v>20160.702000000001</v>
      </c>
      <c r="L180" s="3">
        <f>SUM(FinancialAnalysis[[#This Row],[Marketing Expense]:[Other Expense]])</f>
        <v>68296.347999999998</v>
      </c>
      <c r="M180" s="3">
        <f>FinancialAnalysis[[#This Row],[Revenue]]-FinancialAnalysis[[#This Row],[Cost of Goods Sold]]</f>
        <v>378940.95600000001</v>
      </c>
      <c r="N180" s="11">
        <f>FinancialAnalysis[[#This Row],[Gross Profit]]-FinancialAnalysis[[#This Row],[Total Operating Expenses]]</f>
        <v>310644.60800000001</v>
      </c>
      <c r="O180" s="9">
        <f>FinancialAnalysis[[#This Row],[Gross Profit]]/FinancialAnalysis[[#This Row],[Revenue]]</f>
        <v>0.37780000000000002</v>
      </c>
      <c r="P180" s="9">
        <f>FinancialAnalysis[[#This Row],[Operating Profit]]/FinancialAnalysis[[#This Row],[Revenue]]</f>
        <v>0.30970928595641162</v>
      </c>
      <c r="Q180" s="4">
        <f>FinancialAnalysis[[#This Row],[Revenue]]/FinancialAnalysis[[#This Row],[Units Sold]]</f>
        <v>458</v>
      </c>
      <c r="R180" s="4">
        <f>FinancialAnalysis[[#This Row],[Cost of Goods Sold]]/FinancialAnalysis[[#This Row],[Units Sold]]</f>
        <v>284.9676</v>
      </c>
      <c r="S180" s="9">
        <f>FinancialAnalysis[[#This Row],[Total Operating Expenses]]/FinancialAnalysis[[#This Row],[Revenue]]</f>
        <v>6.8090714043588366E-2</v>
      </c>
      <c r="T180" s="3" t="str">
        <f>IF(FinancialAnalysis[[#This Row],[Operating Profit]]&gt;0,"Profitable","Not Profitable")</f>
        <v>Profitable</v>
      </c>
    </row>
    <row r="181" spans="1:20" x14ac:dyDescent="0.3">
      <c r="A181" t="s">
        <v>21</v>
      </c>
      <c r="B181" t="s">
        <v>28</v>
      </c>
      <c r="C181" t="s">
        <v>26</v>
      </c>
      <c r="D181" s="1">
        <v>2664</v>
      </c>
      <c r="E181" s="3">
        <v>74</v>
      </c>
      <c r="F181" s="2">
        <v>197136</v>
      </c>
      <c r="G181" s="3">
        <v>133401.93119999999</v>
      </c>
      <c r="H181" s="3">
        <v>9383.6736000000001</v>
      </c>
      <c r="I181" s="3">
        <v>9877</v>
      </c>
      <c r="J181" s="3">
        <v>6614</v>
      </c>
      <c r="K181" s="8">
        <v>10645.343999999999</v>
      </c>
      <c r="L181" s="3">
        <f>SUM(FinancialAnalysis[[#This Row],[Marketing Expense]:[Other Expense]])</f>
        <v>36520.017599999999</v>
      </c>
      <c r="M181" s="3">
        <f>FinancialAnalysis[[#This Row],[Revenue]]-FinancialAnalysis[[#This Row],[Cost of Goods Sold]]</f>
        <v>63734.068800000008</v>
      </c>
      <c r="N181" s="11">
        <f>FinancialAnalysis[[#This Row],[Gross Profit]]-FinancialAnalysis[[#This Row],[Total Operating Expenses]]</f>
        <v>27214.051200000009</v>
      </c>
      <c r="O181" s="9">
        <f>FinancialAnalysis[[#This Row],[Gross Profit]]/FinancialAnalysis[[#This Row],[Revenue]]</f>
        <v>0.32330000000000003</v>
      </c>
      <c r="P181" s="9">
        <f>FinancialAnalysis[[#This Row],[Operating Profit]]/FinancialAnalysis[[#This Row],[Revenue]]</f>
        <v>0.13804709033357687</v>
      </c>
      <c r="Q181" s="4">
        <f>FinancialAnalysis[[#This Row],[Revenue]]/FinancialAnalysis[[#This Row],[Units Sold]]</f>
        <v>74</v>
      </c>
      <c r="R181" s="4">
        <f>FinancialAnalysis[[#This Row],[Cost of Goods Sold]]/FinancialAnalysis[[#This Row],[Units Sold]]</f>
        <v>50.075799999999994</v>
      </c>
      <c r="S181" s="9">
        <f>FinancialAnalysis[[#This Row],[Total Operating Expenses]]/FinancialAnalysis[[#This Row],[Revenue]]</f>
        <v>0.18525290966642319</v>
      </c>
      <c r="T181" s="3" t="str">
        <f>IF(FinancialAnalysis[[#This Row],[Operating Profit]]&gt;0,"Profitable","Not Profitable")</f>
        <v>Profitable</v>
      </c>
    </row>
    <row r="184" spans="1:20" x14ac:dyDescent="0.3">
      <c r="F184" s="3"/>
      <c r="N184" s="3"/>
      <c r="P184" s="9"/>
    </row>
    <row r="186" spans="1:20" x14ac:dyDescent="0.3">
      <c r="N186" s="9"/>
    </row>
  </sheetData>
  <conditionalFormatting sqref="N2:N181">
    <cfRule type="cellIs" dxfId="6" priority="1" operator="lessThan">
      <formula>0</formula>
    </cfRule>
    <cfRule type="cellIs" dxfId="5" priority="2" operator="greaterThan">
      <formula>0</formula>
    </cfRule>
  </conditionalFormatting>
  <conditionalFormatting sqref="T2:T181">
    <cfRule type="containsText" dxfId="4" priority="3" operator="containsText" text="Not Profitable">
      <formula>NOT(ISERROR(SEARCH("Not Profitable",T2)))</formula>
    </cfRule>
    <cfRule type="containsText" dxfId="3" priority="4" operator="containsText" text="Profitable">
      <formula>NOT(ISERROR(SEARCH("Profitable",T2)))</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79273-B9D3-4EE4-A201-A7865A5835EF}">
  <dimension ref="A1:I20"/>
  <sheetViews>
    <sheetView workbookViewId="0">
      <selection activeCell="E8" sqref="E8"/>
    </sheetView>
  </sheetViews>
  <sheetFormatPr defaultRowHeight="14.4" x14ac:dyDescent="0.3"/>
  <cols>
    <col min="1" max="1" width="8.33203125" bestFit="1" customWidth="1"/>
    <col min="2" max="2" width="16" bestFit="1" customWidth="1"/>
    <col min="3" max="3" width="16.44140625" bestFit="1" customWidth="1"/>
    <col min="4" max="4" width="18" bestFit="1" customWidth="1"/>
    <col min="5" max="5" width="20" bestFit="1" customWidth="1"/>
    <col min="6" max="6" width="22.21875" bestFit="1" customWidth="1"/>
    <col min="7" max="7" width="22.6640625" bestFit="1" customWidth="1"/>
    <col min="8" max="8" width="24.33203125" bestFit="1" customWidth="1"/>
    <col min="9" max="9" width="26.21875" bestFit="1" customWidth="1"/>
  </cols>
  <sheetData>
    <row r="1" spans="1:9" x14ac:dyDescent="0.3">
      <c r="A1" t="s">
        <v>0</v>
      </c>
      <c r="B1" t="s">
        <v>72</v>
      </c>
      <c r="C1" t="s">
        <v>52</v>
      </c>
      <c r="D1" t="s">
        <v>73</v>
      </c>
      <c r="E1" t="s">
        <v>74</v>
      </c>
      <c r="F1" t="s">
        <v>75</v>
      </c>
      <c r="G1" t="s">
        <v>55</v>
      </c>
      <c r="H1" t="s">
        <v>76</v>
      </c>
      <c r="I1" t="s">
        <v>77</v>
      </c>
    </row>
    <row r="2" spans="1:9" x14ac:dyDescent="0.3">
      <c r="A2" t="s">
        <v>10</v>
      </c>
      <c r="B2" s="3">
        <f>SUMIFS(FinancialData[Revenue],FinancialData[Month],MonthlySummary[[#This Row],[Month]])</f>
        <v>3482468</v>
      </c>
      <c r="C2" s="3">
        <f>_xlfn.XLOOKUP(MonthlySummary[[#This Row],[Month]],BudgetData[Month],BudgetData[Budget Revenue])</f>
        <v>3377297.4663999998</v>
      </c>
      <c r="D2" s="11">
        <f>MonthlySummary[[#This Row],[Actual Revenue]]-MonthlySummary[[#This Row],[Budget Revenue]]</f>
        <v>105170.5336000002</v>
      </c>
      <c r="E2" s="9">
        <f>MonthlySummary[[#This Row],[Revenue Variance]]/MonthlySummary[[#This Row],[Budget Revenue]]</f>
        <v>3.1140441328108948E-2</v>
      </c>
      <c r="F2" s="3">
        <f>SUMIFS(FinancialAnalysis[Operating Profit],FinancialAnalysis[Month],MonthlySummary[[#This Row],[Month]])</f>
        <v>580097.42379999999</v>
      </c>
      <c r="G2" s="3">
        <f>_xlfn.XLOOKUP(MonthlySummary[[#This Row],[Month]],BudgetData[Month],BudgetData[Budget Operating Profit])</f>
        <v>701802.41351791995</v>
      </c>
      <c r="H2" s="11">
        <f>MonthlySummary[[#This Row],[Actual Operating Profit]]-MonthlySummary[[#This Row],[Budget Operating Profit]]</f>
        <v>-121704.98971791996</v>
      </c>
      <c r="I2" s="9">
        <f>MonthlySummary[[#This Row],[Operating Profit Variance]]/MonthlySummary[[#This Row],[Budget Operating Profit]]</f>
        <v>-0.17341774176559216</v>
      </c>
    </row>
    <row r="3" spans="1:9" x14ac:dyDescent="0.3">
      <c r="A3" t="s">
        <v>11</v>
      </c>
      <c r="B3" s="3">
        <f>SUMIFS(FinancialData[Revenue],FinancialData[Month],MonthlySummary[[#This Row],[Month]])</f>
        <v>3832409</v>
      </c>
      <c r="C3" s="3">
        <f>_xlfn.XLOOKUP(MonthlySummary[[#This Row],[Month]],BudgetData[Month],BudgetData[Budget Revenue])</f>
        <v>3703256.8166999999</v>
      </c>
      <c r="D3" s="11">
        <f>MonthlySummary[[#This Row],[Actual Revenue]]-MonthlySummary[[#This Row],[Budget Revenue]]</f>
        <v>129152.18330000015</v>
      </c>
      <c r="E3" s="9">
        <f>MonthlySummary[[#This Row],[Revenue Variance]]/MonthlySummary[[#This Row],[Budget Revenue]]</f>
        <v>3.4875297526648079E-2</v>
      </c>
      <c r="F3" s="3">
        <f>SUMIFS(FinancialAnalysis[Operating Profit],FinancialAnalysis[Month],MonthlySummary[[#This Row],[Month]])</f>
        <v>580302.38469999982</v>
      </c>
      <c r="G3" s="3">
        <f>_xlfn.XLOOKUP(MonthlySummary[[#This Row],[Month]],BudgetData[Month],BudgetData[Budget Operating Profit])</f>
        <v>758426.99606015999</v>
      </c>
      <c r="H3" s="11">
        <f>MonthlySummary[[#This Row],[Actual Operating Profit]]-MonthlySummary[[#This Row],[Budget Operating Profit]]</f>
        <v>-178124.61136016017</v>
      </c>
      <c r="I3" s="9">
        <f>MonthlySummary[[#This Row],[Operating Profit Variance]]/MonthlySummary[[#This Row],[Budget Operating Profit]]</f>
        <v>-0.23486058946407937</v>
      </c>
    </row>
    <row r="4" spans="1:9" x14ac:dyDescent="0.3">
      <c r="A4" t="s">
        <v>12</v>
      </c>
      <c r="B4" s="3">
        <f>SUMIFS(FinancialData[Revenue],FinancialData[Month],MonthlySummary[[#This Row],[Month]])</f>
        <v>1976586</v>
      </c>
      <c r="C4" s="3">
        <f>_xlfn.XLOOKUP(MonthlySummary[[#This Row],[Month]],BudgetData[Month],BudgetData[Budget Revenue])</f>
        <v>1905033.5867999999</v>
      </c>
      <c r="D4" s="11">
        <f>MonthlySummary[[#This Row],[Actual Revenue]]-MonthlySummary[[#This Row],[Budget Revenue]]</f>
        <v>71552.413200000068</v>
      </c>
      <c r="E4" s="9">
        <f>MonthlySummary[[#This Row],[Revenue Variance]]/MonthlySummary[[#This Row],[Budget Revenue]]</f>
        <v>3.7559659680431665E-2</v>
      </c>
      <c r="F4" s="3">
        <f>SUMIFS(FinancialAnalysis[Operating Profit],FinancialAnalysis[Month],MonthlySummary[[#This Row],[Month]])</f>
        <v>286000.65969999996</v>
      </c>
      <c r="G4" s="3">
        <f>_xlfn.XLOOKUP(MonthlySummary[[#This Row],[Month]],BudgetData[Month],BudgetData[Budget Operating Profit])</f>
        <v>358908.3277531201</v>
      </c>
      <c r="H4" s="11">
        <f>MonthlySummary[[#This Row],[Actual Operating Profit]]-MonthlySummary[[#This Row],[Budget Operating Profit]]</f>
        <v>-72907.668053120142</v>
      </c>
      <c r="I4" s="9">
        <f>MonthlySummary[[#This Row],[Operating Profit Variance]]/MonthlySummary[[#This Row],[Budget Operating Profit]]</f>
        <v>-0.20313729834452507</v>
      </c>
    </row>
    <row r="5" spans="1:9" x14ac:dyDescent="0.3">
      <c r="A5" t="s">
        <v>13</v>
      </c>
      <c r="B5" s="3">
        <f>SUMIFS(FinancialData[Revenue],FinancialData[Month],MonthlySummary[[#This Row],[Month]])</f>
        <v>3158657</v>
      </c>
      <c r="C5" s="3">
        <f>_xlfn.XLOOKUP(MonthlySummary[[#This Row],[Month]],BudgetData[Month],BudgetData[Budget Revenue])</f>
        <v>3092009.3372999998</v>
      </c>
      <c r="D5" s="11">
        <f>MonthlySummary[[#This Row],[Actual Revenue]]-MonthlySummary[[#This Row],[Budget Revenue]]</f>
        <v>66647.662700000219</v>
      </c>
      <c r="E5" s="9">
        <f>MonthlySummary[[#This Row],[Revenue Variance]]/MonthlySummary[[#This Row],[Budget Revenue]]</f>
        <v>2.1554806415364256E-2</v>
      </c>
      <c r="F5" s="3">
        <f>SUMIFS(FinancialAnalysis[Operating Profit],FinancialAnalysis[Month],MonthlySummary[[#This Row],[Month]])</f>
        <v>563385.18220000004</v>
      </c>
      <c r="G5" s="3">
        <f>_xlfn.XLOOKUP(MonthlySummary[[#This Row],[Month]],BudgetData[Month],BudgetData[Budget Operating Profit])</f>
        <v>758469.89043968997</v>
      </c>
      <c r="H5" s="11">
        <f>MonthlySummary[[#This Row],[Actual Operating Profit]]-MonthlySummary[[#This Row],[Budget Operating Profit]]</f>
        <v>-195084.70823968993</v>
      </c>
      <c r="I5" s="9">
        <f>MonthlySummary[[#This Row],[Operating Profit Variance]]/MonthlySummary[[#This Row],[Budget Operating Profit]]</f>
        <v>-0.25720824346316246</v>
      </c>
    </row>
    <row r="6" spans="1:9" x14ac:dyDescent="0.3">
      <c r="A6" t="s">
        <v>14</v>
      </c>
      <c r="B6" s="3">
        <f>SUMIFS(FinancialData[Revenue],FinancialData[Month],MonthlySummary[[#This Row],[Month]])</f>
        <v>4117290</v>
      </c>
      <c r="C6" s="3">
        <f>_xlfn.XLOOKUP(MonthlySummary[[#This Row],[Month]],BudgetData[Month],BudgetData[Budget Revenue])</f>
        <v>3951363.213</v>
      </c>
      <c r="D6" s="11">
        <f>MonthlySummary[[#This Row],[Actual Revenue]]-MonthlySummary[[#This Row],[Budget Revenue]]</f>
        <v>165926.78700000001</v>
      </c>
      <c r="E6" s="9">
        <f>MonthlySummary[[#This Row],[Revenue Variance]]/MonthlySummary[[#This Row],[Budget Revenue]]</f>
        <v>4.1992289257059501E-2</v>
      </c>
      <c r="F6" s="3">
        <f>SUMIFS(FinancialAnalysis[Operating Profit],FinancialAnalysis[Month],MonthlySummary[[#This Row],[Month]])</f>
        <v>895831.31040000007</v>
      </c>
      <c r="G6" s="3">
        <f>_xlfn.XLOOKUP(MonthlySummary[[#This Row],[Month]],BudgetData[Month],BudgetData[Budget Operating Profit])</f>
        <v>810819.73130760039</v>
      </c>
      <c r="H6" s="11">
        <f>MonthlySummary[[#This Row],[Actual Operating Profit]]-MonthlySummary[[#This Row],[Budget Operating Profit]]</f>
        <v>85011.579092399683</v>
      </c>
      <c r="I6" s="9">
        <f>MonthlySummary[[#This Row],[Operating Profit Variance]]/MonthlySummary[[#This Row],[Budget Operating Profit]]</f>
        <v>0.10484646069885646</v>
      </c>
    </row>
    <row r="7" spans="1:9" x14ac:dyDescent="0.3">
      <c r="A7" t="s">
        <v>15</v>
      </c>
      <c r="B7" s="3">
        <f>SUMIFS(FinancialData[Revenue],FinancialData[Month],MonthlySummary[[#This Row],[Month]])</f>
        <v>2318453</v>
      </c>
      <c r="C7" s="3">
        <f>_xlfn.XLOOKUP(MonthlySummary[[#This Row],[Month]],BudgetData[Month],BudgetData[Budget Revenue])</f>
        <v>2248435.7193999998</v>
      </c>
      <c r="D7" s="11">
        <f>MonthlySummary[[#This Row],[Actual Revenue]]-MonthlySummary[[#This Row],[Budget Revenue]]</f>
        <v>70017.280600000173</v>
      </c>
      <c r="E7" s="9">
        <f>MonthlySummary[[#This Row],[Revenue Variance]]/MonthlySummary[[#This Row],[Budget Revenue]]</f>
        <v>3.1140441328108968E-2</v>
      </c>
      <c r="F7" s="3">
        <f>SUMIFS(FinancialAnalysis[Operating Profit],FinancialAnalysis[Month],MonthlySummary[[#This Row],[Month]])</f>
        <v>310594.67579999997</v>
      </c>
      <c r="G7" s="3">
        <f>_xlfn.XLOOKUP(MonthlySummary[[#This Row],[Month]],BudgetData[Month],BudgetData[Budget Operating Profit])</f>
        <v>292521.48709394003</v>
      </c>
      <c r="H7" s="11">
        <f>MonthlySummary[[#This Row],[Actual Operating Profit]]-MonthlySummary[[#This Row],[Budget Operating Profit]]</f>
        <v>18073.18870605994</v>
      </c>
      <c r="I7" s="9">
        <f>MonthlySummary[[#This Row],[Operating Profit Variance]]/MonthlySummary[[#This Row],[Budget Operating Profit]]</f>
        <v>6.1784140664702475E-2</v>
      </c>
    </row>
    <row r="8" spans="1:9" x14ac:dyDescent="0.3">
      <c r="A8" t="s">
        <v>16</v>
      </c>
      <c r="B8" s="3">
        <f>SUMIFS(FinancialData[Revenue],FinancialData[Month],MonthlySummary[[#This Row],[Month]])</f>
        <v>3583065</v>
      </c>
      <c r="C8" s="3">
        <f>_xlfn.XLOOKUP(MonthlySummary[[#This Row],[Month]],BudgetData[Month],BudgetData[Budget Revenue])</f>
        <v>3425051.8335000002</v>
      </c>
      <c r="D8" s="11">
        <f>MonthlySummary[[#This Row],[Actual Revenue]]-MonthlySummary[[#This Row],[Budget Revenue]]</f>
        <v>158013.16649999982</v>
      </c>
      <c r="E8" s="9">
        <f>MonthlySummary[[#This Row],[Revenue Variance]]/MonthlySummary[[#This Row],[Budget Revenue]]</f>
        <v>4.6134532900931002E-2</v>
      </c>
      <c r="F8" s="3">
        <f>SUMIFS(FinancialAnalysis[Operating Profit],FinancialAnalysis[Month],MonthlySummary[[#This Row],[Month]])</f>
        <v>513043.2882999999</v>
      </c>
      <c r="G8" s="3">
        <f>_xlfn.XLOOKUP(MonthlySummary[[#This Row],[Month]],BudgetData[Month],BudgetData[Budget Operating Profit])</f>
        <v>568901.10954435007</v>
      </c>
      <c r="H8" s="11">
        <f>MonthlySummary[[#This Row],[Actual Operating Profit]]-MonthlySummary[[#This Row],[Budget Operating Profit]]</f>
        <v>-55857.821244350169</v>
      </c>
      <c r="I8" s="9">
        <f>MonthlySummary[[#This Row],[Operating Profit Variance]]/MonthlySummary[[#This Row],[Budget Operating Profit]]</f>
        <v>-9.8185467223096776E-2</v>
      </c>
    </row>
    <row r="9" spans="1:9" x14ac:dyDescent="0.3">
      <c r="A9" t="s">
        <v>17</v>
      </c>
      <c r="B9" s="3">
        <f>SUMIFS(FinancialData[Revenue],FinancialData[Month],MonthlySummary[[#This Row],[Month]])</f>
        <v>2893764</v>
      </c>
      <c r="C9" s="3">
        <f>_xlfn.XLOOKUP(MonthlySummary[[#This Row],[Month]],BudgetData[Month],BudgetData[Budget Revenue])</f>
        <v>2801452.9284000001</v>
      </c>
      <c r="D9" s="11">
        <f>MonthlySummary[[#This Row],[Actual Revenue]]-MonthlySummary[[#This Row],[Budget Revenue]]</f>
        <v>92311.071599999908</v>
      </c>
      <c r="E9" s="9">
        <f>MonthlySummary[[#This Row],[Revenue Variance]]/MonthlySummary[[#This Row],[Budget Revenue]]</f>
        <v>3.2951141411011228E-2</v>
      </c>
      <c r="F9" s="3">
        <f>SUMIFS(FinancialAnalysis[Operating Profit],FinancialAnalysis[Month],MonthlySummary[[#This Row],[Month]])</f>
        <v>494047.85990000004</v>
      </c>
      <c r="G9" s="3">
        <f>_xlfn.XLOOKUP(MonthlySummary[[#This Row],[Month]],BudgetData[Month],BudgetData[Budget Operating Profit])</f>
        <v>545442.88515948004</v>
      </c>
      <c r="H9" s="11">
        <f>MonthlySummary[[#This Row],[Actual Operating Profit]]-MonthlySummary[[#This Row],[Budget Operating Profit]]</f>
        <v>-51395.025259479997</v>
      </c>
      <c r="I9" s="9">
        <f>MonthlySummary[[#This Row],[Operating Profit Variance]]/MonthlySummary[[#This Row],[Budget Operating Profit]]</f>
        <v>-9.422622726933691E-2</v>
      </c>
    </row>
    <row r="10" spans="1:9" x14ac:dyDescent="0.3">
      <c r="A10" t="s">
        <v>18</v>
      </c>
      <c r="B10" s="3">
        <f>SUMIFS(FinancialData[Revenue],FinancialData[Month],MonthlySummary[[#This Row],[Month]])</f>
        <v>3786563</v>
      </c>
      <c r="C10" s="3">
        <f>_xlfn.XLOOKUP(MonthlySummary[[#This Row],[Month]],BudgetData[Month],BudgetData[Budget Revenue])</f>
        <v>3604429.3196999999</v>
      </c>
      <c r="D10" s="11">
        <f>MonthlySummary[[#This Row],[Actual Revenue]]-MonthlySummary[[#This Row],[Budget Revenue]]</f>
        <v>182133.68030000012</v>
      </c>
      <c r="E10" s="9">
        <f>MonthlySummary[[#This Row],[Revenue Variance]]/MonthlySummary[[#This Row],[Budget Revenue]]</f>
        <v>5.0530517911545364E-2</v>
      </c>
      <c r="F10" s="3">
        <f>SUMIFS(FinancialAnalysis[Operating Profit],FinancialAnalysis[Month],MonthlySummary[[#This Row],[Month]])</f>
        <v>684099.84369999997</v>
      </c>
      <c r="G10" s="3">
        <f>_xlfn.XLOOKUP(MonthlySummary[[#This Row],[Month]],BudgetData[Month],BudgetData[Budget Operating Profit])</f>
        <v>857493.73515662993</v>
      </c>
      <c r="H10" s="11">
        <f>MonthlySummary[[#This Row],[Actual Operating Profit]]-MonthlySummary[[#This Row],[Budget Operating Profit]]</f>
        <v>-173393.89145662996</v>
      </c>
      <c r="I10" s="9">
        <f>MonthlySummary[[#This Row],[Operating Profit Variance]]/MonthlySummary[[#This Row],[Budget Operating Profit]]</f>
        <v>-0.20221009710929003</v>
      </c>
    </row>
    <row r="11" spans="1:9" x14ac:dyDescent="0.3">
      <c r="A11" t="s">
        <v>19</v>
      </c>
      <c r="B11" s="3">
        <f>SUMIFS(FinancialData[Revenue],FinancialData[Month],MonthlySummary[[#This Row],[Month]])</f>
        <v>3395586</v>
      </c>
      <c r="C11" s="3">
        <f>_xlfn.XLOOKUP(MonthlySummary[[#This Row],[Month]],BudgetData[Month],BudgetData[Budget Revenue])</f>
        <v>3232258.3133999999</v>
      </c>
      <c r="D11" s="11">
        <f>MonthlySummary[[#This Row],[Actual Revenue]]-MonthlySummary[[#This Row],[Budget Revenue]]</f>
        <v>163327.68660000013</v>
      </c>
      <c r="E11" s="9">
        <f>MonthlySummary[[#This Row],[Revenue Variance]]/MonthlySummary[[#This Row],[Budget Revenue]]</f>
        <v>5.0530517911545371E-2</v>
      </c>
      <c r="F11" s="3">
        <f>SUMIFS(FinancialAnalysis[Operating Profit],FinancialAnalysis[Month],MonthlySummary[[#This Row],[Month]])</f>
        <v>543752.07380000001</v>
      </c>
      <c r="G11" s="3">
        <f>_xlfn.XLOOKUP(MonthlySummary[[#This Row],[Month]],BudgetData[Month],BudgetData[Budget Operating Profit])</f>
        <v>561766.49486892018</v>
      </c>
      <c r="H11" s="11">
        <f>MonthlySummary[[#This Row],[Actual Operating Profit]]-MonthlySummary[[#This Row],[Budget Operating Profit]]</f>
        <v>-18014.421068920172</v>
      </c>
      <c r="I11" s="9">
        <f>MonthlySummary[[#This Row],[Operating Profit Variance]]/MonthlySummary[[#This Row],[Budget Operating Profit]]</f>
        <v>-3.2067453708010063E-2</v>
      </c>
    </row>
    <row r="12" spans="1:9" x14ac:dyDescent="0.3">
      <c r="A12" t="s">
        <v>20</v>
      </c>
      <c r="B12" s="3">
        <f>SUMIFS(FinancialData[Revenue],FinancialData[Month],MonthlySummary[[#This Row],[Month]])</f>
        <v>3230462</v>
      </c>
      <c r="C12" s="3">
        <f>_xlfn.XLOOKUP(MonthlySummary[[#This Row],[Month]],BudgetData[Month],BudgetData[Budget Revenue])</f>
        <v>3122564.5691999998</v>
      </c>
      <c r="D12" s="11">
        <f>MonthlySummary[[#This Row],[Actual Revenue]]-MonthlySummary[[#This Row],[Budget Revenue]]</f>
        <v>107897.43080000021</v>
      </c>
      <c r="E12" s="9">
        <f>MonthlySummary[[#This Row],[Revenue Variance]]/MonthlySummary[[#This Row],[Budget Revenue]]</f>
        <v>3.4554107179805574E-2</v>
      </c>
      <c r="F12" s="3">
        <f>SUMIFS(FinancialAnalysis[Operating Profit],FinancialAnalysis[Month],MonthlySummary[[#This Row],[Month]])</f>
        <v>560007.71909999999</v>
      </c>
      <c r="G12" s="3">
        <f>_xlfn.XLOOKUP(MonthlySummary[[#This Row],[Month]],BudgetData[Month],BudgetData[Budget Operating Profit])</f>
        <v>632007.0688060798</v>
      </c>
      <c r="H12" s="11">
        <f>MonthlySummary[[#This Row],[Actual Operating Profit]]-MonthlySummary[[#This Row],[Budget Operating Profit]]</f>
        <v>-71999.349706079811</v>
      </c>
      <c r="I12" s="9">
        <f>MonthlySummary[[#This Row],[Operating Profit Variance]]/MonthlySummary[[#This Row],[Budget Operating Profit]]</f>
        <v>-0.11392174749262424</v>
      </c>
    </row>
    <row r="13" spans="1:9" x14ac:dyDescent="0.3">
      <c r="A13" t="s">
        <v>21</v>
      </c>
      <c r="B13" s="3">
        <f>SUMIFS(FinancialData[Revenue],FinancialData[Month],MonthlySummary[[#This Row],[Month]])</f>
        <v>4148524</v>
      </c>
      <c r="C13" s="3">
        <f>_xlfn.XLOOKUP(MonthlySummary[[#This Row],[Month]],BudgetData[Month],BudgetData[Budget Revenue])</f>
        <v>4020334.6083999998</v>
      </c>
      <c r="D13" s="11">
        <f>MonthlySummary[[#This Row],[Actual Revenue]]-MonthlySummary[[#This Row],[Budget Revenue]]</f>
        <v>128189.39160000021</v>
      </c>
      <c r="E13" s="9">
        <f>MonthlySummary[[#This Row],[Revenue Variance]]/MonthlySummary[[#This Row],[Budget Revenue]]</f>
        <v>3.1885254359715252E-2</v>
      </c>
      <c r="F13" s="3">
        <f>SUMIFS(FinancialAnalysis[Operating Profit],FinancialAnalysis[Month],MonthlySummary[[#This Row],[Month]])</f>
        <v>878617.6074000001</v>
      </c>
      <c r="G13" s="3">
        <f>_xlfn.XLOOKUP(MonthlySummary[[#This Row],[Month]],BudgetData[Month],BudgetData[Budget Operating Profit])</f>
        <v>975735.20945867989</v>
      </c>
      <c r="H13" s="11">
        <f>MonthlySummary[[#This Row],[Actual Operating Profit]]-MonthlySummary[[#This Row],[Budget Operating Profit]]</f>
        <v>-97117.602058679797</v>
      </c>
      <c r="I13" s="9">
        <f>MonthlySummary[[#This Row],[Operating Profit Variance]]/MonthlySummary[[#This Row],[Budget Operating Profit]]</f>
        <v>-9.9532743225038356E-2</v>
      </c>
    </row>
    <row r="18" spans="2:4" x14ac:dyDescent="0.3">
      <c r="B18" s="3"/>
      <c r="C18" s="3"/>
      <c r="D18" s="3"/>
    </row>
    <row r="20" spans="2:4" x14ac:dyDescent="0.3">
      <c r="C20" s="10"/>
    </row>
  </sheetData>
  <phoneticPr fontId="4" type="noConversion"/>
  <conditionalFormatting sqref="D2:E13">
    <cfRule type="cellIs" dxfId="2" priority="3" operator="greaterThan">
      <formula>0</formula>
    </cfRule>
  </conditionalFormatting>
  <conditionalFormatting sqref="H2:I13">
    <cfRule type="cellIs" dxfId="1" priority="1" operator="lessThan">
      <formula>0</formula>
    </cfRule>
    <cfRule type="cellIs" dxfId="0" priority="2" operator="greaterThan">
      <formula>0</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4524C-E96D-41BD-A09A-62AAD646312C}">
  <dimension ref="A1:J67"/>
  <sheetViews>
    <sheetView topLeftCell="A46" zoomScaleNormal="100" workbookViewId="0">
      <selection activeCell="J31" sqref="J31"/>
    </sheetView>
  </sheetViews>
  <sheetFormatPr defaultColWidth="22.109375" defaultRowHeight="14.4" x14ac:dyDescent="0.3"/>
  <cols>
    <col min="1" max="1" width="21.5546875" customWidth="1"/>
    <col min="2" max="2" width="14.109375" bestFit="1" customWidth="1"/>
    <col min="3" max="3" width="18.77734375" bestFit="1" customWidth="1"/>
    <col min="4" max="4" width="13.21875" bestFit="1" customWidth="1"/>
    <col min="5" max="5" width="10.5546875" bestFit="1" customWidth="1"/>
    <col min="6" max="6" width="12.33203125" bestFit="1" customWidth="1"/>
    <col min="7" max="7" width="13.77734375" bestFit="1" customWidth="1"/>
    <col min="8" max="8" width="18" bestFit="1" customWidth="1"/>
    <col min="9" max="9" width="11.5546875" bestFit="1" customWidth="1"/>
  </cols>
  <sheetData>
    <row r="1" spans="1:9" x14ac:dyDescent="0.3">
      <c r="A1" s="5" t="s">
        <v>79</v>
      </c>
    </row>
    <row r="2" spans="1:9" x14ac:dyDescent="0.3">
      <c r="A2" s="15" t="s">
        <v>0</v>
      </c>
      <c r="B2" s="22" t="s">
        <v>86</v>
      </c>
    </row>
    <row r="3" spans="1:9" x14ac:dyDescent="0.3">
      <c r="A3" s="23" t="s">
        <v>10</v>
      </c>
      <c r="B3" s="25">
        <v>3482468</v>
      </c>
    </row>
    <row r="4" spans="1:9" x14ac:dyDescent="0.3">
      <c r="A4" s="16" t="s">
        <v>11</v>
      </c>
      <c r="B4" s="26">
        <v>3832409</v>
      </c>
    </row>
    <row r="5" spans="1:9" x14ac:dyDescent="0.3">
      <c r="A5" s="16" t="s">
        <v>12</v>
      </c>
      <c r="B5" s="26">
        <v>1976586</v>
      </c>
    </row>
    <row r="6" spans="1:9" x14ac:dyDescent="0.3">
      <c r="A6" s="16" t="s">
        <v>13</v>
      </c>
      <c r="B6" s="26">
        <v>3158657</v>
      </c>
    </row>
    <row r="7" spans="1:9" x14ac:dyDescent="0.3">
      <c r="A7" s="16" t="s">
        <v>14</v>
      </c>
      <c r="B7" s="26">
        <v>4117290</v>
      </c>
    </row>
    <row r="8" spans="1:9" x14ac:dyDescent="0.3">
      <c r="A8" s="16" t="s">
        <v>15</v>
      </c>
      <c r="B8" s="26">
        <v>2318453</v>
      </c>
    </row>
    <row r="9" spans="1:9" x14ac:dyDescent="0.3">
      <c r="A9" s="16" t="s">
        <v>16</v>
      </c>
      <c r="B9" s="26">
        <v>3583065</v>
      </c>
    </row>
    <row r="10" spans="1:9" x14ac:dyDescent="0.3">
      <c r="A10" s="16" t="s">
        <v>17</v>
      </c>
      <c r="B10" s="26">
        <v>2893764</v>
      </c>
    </row>
    <row r="11" spans="1:9" x14ac:dyDescent="0.3">
      <c r="A11" s="16" t="s">
        <v>18</v>
      </c>
      <c r="B11" s="26">
        <v>3786563</v>
      </c>
    </row>
    <row r="12" spans="1:9" x14ac:dyDescent="0.3">
      <c r="A12" s="16" t="s">
        <v>19</v>
      </c>
      <c r="B12" s="26">
        <v>3395586</v>
      </c>
    </row>
    <row r="13" spans="1:9" x14ac:dyDescent="0.3">
      <c r="A13" s="16" t="s">
        <v>20</v>
      </c>
      <c r="B13" s="26">
        <v>3230462</v>
      </c>
    </row>
    <row r="14" spans="1:9" x14ac:dyDescent="0.3">
      <c r="A14" s="24" t="s">
        <v>21</v>
      </c>
      <c r="B14" s="26">
        <v>4148524</v>
      </c>
    </row>
    <row r="15" spans="1:9" x14ac:dyDescent="0.3">
      <c r="A15" s="17" t="s">
        <v>78</v>
      </c>
      <c r="B15" s="28">
        <v>39923827</v>
      </c>
      <c r="E15" s="49"/>
      <c r="F15" s="49"/>
      <c r="G15" s="49"/>
      <c r="H15" s="49"/>
      <c r="I15" s="49"/>
    </row>
    <row r="16" spans="1:9" x14ac:dyDescent="0.3">
      <c r="E16" s="49"/>
      <c r="F16" s="49"/>
      <c r="G16" s="49"/>
      <c r="H16" s="49"/>
      <c r="I16" s="49"/>
    </row>
    <row r="17" spans="1:10" x14ac:dyDescent="0.3">
      <c r="E17" s="49"/>
      <c r="F17" s="49"/>
      <c r="G17" s="49"/>
      <c r="H17" s="49"/>
      <c r="I17" s="49"/>
      <c r="J17" s="6"/>
    </row>
    <row r="18" spans="1:10" x14ac:dyDescent="0.3">
      <c r="A18" s="5" t="s">
        <v>80</v>
      </c>
      <c r="E18" s="49"/>
      <c r="F18" s="49"/>
      <c r="G18" s="49"/>
      <c r="H18" s="49"/>
      <c r="I18" s="49"/>
      <c r="J18" s="6"/>
    </row>
    <row r="19" spans="1:10" x14ac:dyDescent="0.3">
      <c r="A19" s="15" t="s">
        <v>1</v>
      </c>
      <c r="B19" s="29" t="s">
        <v>86</v>
      </c>
      <c r="C19" s="13" t="s">
        <v>87</v>
      </c>
      <c r="F19" s="6" t="s">
        <v>1</v>
      </c>
      <c r="G19" s="6" t="s">
        <v>86</v>
      </c>
      <c r="H19" s="6" t="s">
        <v>87</v>
      </c>
      <c r="I19" s="6"/>
      <c r="J19" s="6"/>
    </row>
    <row r="20" spans="1:10" x14ac:dyDescent="0.3">
      <c r="A20" s="16" t="s">
        <v>22</v>
      </c>
      <c r="B20" s="31">
        <v>12583215</v>
      </c>
      <c r="C20" s="12">
        <v>2110370.6789000002</v>
      </c>
      <c r="F20" s="6" t="s">
        <v>22</v>
      </c>
      <c r="G20" s="42">
        <f>GETPIVOTDATA("Total Revenue",$A$19,"Sales Channel","Online")</f>
        <v>12583215</v>
      </c>
      <c r="H20" s="42">
        <f>GETPIVOTDATA("Total Operating Profit",$A$19,"Sales Channel","Online")</f>
        <v>2110370.6789000002</v>
      </c>
      <c r="I20" s="6"/>
      <c r="J20" s="6"/>
    </row>
    <row r="21" spans="1:10" x14ac:dyDescent="0.3">
      <c r="A21" s="16" t="s">
        <v>27</v>
      </c>
      <c r="B21" s="31">
        <v>7970715</v>
      </c>
      <c r="C21" s="12">
        <v>446414.30739999993</v>
      </c>
      <c r="F21" s="6" t="s">
        <v>27</v>
      </c>
      <c r="G21" s="42">
        <f>GETPIVOTDATA("Total Revenue",$A$19,"Sales Channel","Retail")</f>
        <v>7970715</v>
      </c>
      <c r="H21" s="42">
        <f>GETPIVOTDATA("Total Operating Profit",$A$19,"Sales Channel","Retail")</f>
        <v>446414.30739999993</v>
      </c>
      <c r="I21" s="6"/>
      <c r="J21" s="6"/>
    </row>
    <row r="22" spans="1:10" x14ac:dyDescent="0.3">
      <c r="A22" s="16" t="s">
        <v>28</v>
      </c>
      <c r="B22" s="31">
        <v>19369897</v>
      </c>
      <c r="C22" s="12">
        <v>4332995.0425000004</v>
      </c>
      <c r="F22" s="6" t="s">
        <v>28</v>
      </c>
      <c r="G22" s="42">
        <f>GETPIVOTDATA("Total Revenue",$A$19,"Sales Channel","Wholesale")</f>
        <v>19369897</v>
      </c>
      <c r="H22" s="42">
        <f>GETPIVOTDATA("Total Operating Profit",$A$19,"Sales Channel","Wholesale")</f>
        <v>4332995.0425000004</v>
      </c>
      <c r="I22" s="6"/>
      <c r="J22" s="6"/>
    </row>
    <row r="23" spans="1:10" x14ac:dyDescent="0.3">
      <c r="A23" s="17" t="s">
        <v>78</v>
      </c>
      <c r="B23" s="30">
        <v>39923827</v>
      </c>
      <c r="C23" s="14">
        <v>6889780.0288000004</v>
      </c>
      <c r="E23" s="49"/>
      <c r="F23" s="6"/>
      <c r="G23" s="6"/>
      <c r="H23" s="6"/>
      <c r="I23" s="6"/>
      <c r="J23" s="6"/>
    </row>
    <row r="24" spans="1:10" x14ac:dyDescent="0.3">
      <c r="E24" s="49"/>
      <c r="F24" s="6"/>
      <c r="G24" s="6"/>
      <c r="H24" s="6"/>
      <c r="I24" s="6"/>
      <c r="J24" s="6"/>
    </row>
    <row r="25" spans="1:10" x14ac:dyDescent="0.3">
      <c r="E25" s="49"/>
      <c r="F25" s="6"/>
      <c r="G25" s="6"/>
      <c r="H25" s="6"/>
      <c r="I25" s="6"/>
      <c r="J25" s="6"/>
    </row>
    <row r="26" spans="1:10" x14ac:dyDescent="0.3">
      <c r="A26" s="15" t="s">
        <v>92</v>
      </c>
      <c r="B26" s="29" t="s">
        <v>93</v>
      </c>
      <c r="C26" s="13" t="s">
        <v>94</v>
      </c>
      <c r="D26" t="s">
        <v>66</v>
      </c>
      <c r="E26" s="49"/>
      <c r="F26" s="6" t="s">
        <v>92</v>
      </c>
      <c r="G26" s="6" t="s">
        <v>93</v>
      </c>
      <c r="H26" s="6" t="s">
        <v>94</v>
      </c>
      <c r="I26" s="6" t="s">
        <v>66</v>
      </c>
      <c r="J26" s="6"/>
    </row>
    <row r="27" spans="1:10" x14ac:dyDescent="0.3">
      <c r="A27" s="16" t="s">
        <v>25</v>
      </c>
      <c r="B27" s="31">
        <v>21379811</v>
      </c>
      <c r="C27" s="12">
        <v>6637077.7577999998</v>
      </c>
      <c r="D27">
        <f>GETPIVOTDATA("Sum of Gross Profit",'Pivot Summary'!$A$26,"Department","Appliances")/GETPIVOTDATA("Sum of Revenue",'Pivot Summary'!$A$26,"Department","Appliances")</f>
        <v>0.31043668991274059</v>
      </c>
      <c r="E27" s="49"/>
      <c r="F27" s="6" t="s">
        <v>25</v>
      </c>
      <c r="G27" s="42">
        <f>B27</f>
        <v>21379811</v>
      </c>
      <c r="H27" s="42">
        <f t="shared" ref="H27:I31" si="0">C27</f>
        <v>6637077.7577999998</v>
      </c>
      <c r="I27" s="43">
        <f t="shared" si="0"/>
        <v>0.31043668991274059</v>
      </c>
      <c r="J27" s="6"/>
    </row>
    <row r="28" spans="1:10" x14ac:dyDescent="0.3">
      <c r="A28" s="16" t="s">
        <v>23</v>
      </c>
      <c r="B28" s="31">
        <v>9768660</v>
      </c>
      <c r="C28" s="12">
        <v>3372788.2673999998</v>
      </c>
      <c r="D28">
        <f>GETPIVOTDATA("Sum of Gross Profit",$A$26,"Department","Furniture")/GETPIVOTDATA("Sum of Revenue",$A$26,"Department","Furniture")</f>
        <v>0.3452662153662836</v>
      </c>
      <c r="E28" s="49"/>
      <c r="F28" s="6" t="s">
        <v>23</v>
      </c>
      <c r="G28" s="42">
        <f t="shared" ref="G28:G31" si="1">B28</f>
        <v>9768660</v>
      </c>
      <c r="H28" s="42">
        <f t="shared" si="0"/>
        <v>3372788.2673999998</v>
      </c>
      <c r="I28" s="43">
        <f t="shared" si="0"/>
        <v>0.3452662153662836</v>
      </c>
      <c r="J28" s="6"/>
    </row>
    <row r="29" spans="1:10" x14ac:dyDescent="0.3">
      <c r="A29" s="16" t="s">
        <v>29</v>
      </c>
      <c r="B29" s="31">
        <v>2456933</v>
      </c>
      <c r="C29" s="12">
        <v>1140602.4510999999</v>
      </c>
      <c r="D29">
        <f>GETPIVOTDATA("Sum of Gross Profit",$A$26,"Department","Home Decor")/GETPIVOTDATA("Sum of Revenue",$A$26,"Department","Home Decor")</f>
        <v>0.4642383211508006</v>
      </c>
      <c r="E29" s="49"/>
      <c r="F29" s="6" t="s">
        <v>29</v>
      </c>
      <c r="G29" s="42">
        <f t="shared" si="1"/>
        <v>2456933</v>
      </c>
      <c r="H29" s="42">
        <f t="shared" si="0"/>
        <v>1140602.4510999999</v>
      </c>
      <c r="I29" s="43">
        <f t="shared" si="0"/>
        <v>0.4642383211508006</v>
      </c>
      <c r="J29" s="6"/>
    </row>
    <row r="30" spans="1:10" x14ac:dyDescent="0.3">
      <c r="A30" s="16" t="s">
        <v>24</v>
      </c>
      <c r="B30" s="31">
        <v>3364712</v>
      </c>
      <c r="C30" s="12">
        <v>1419655.9967999998</v>
      </c>
      <c r="D30">
        <f>GETPIVOTDATA("Sum of Gross Profit",$A$26,"Department","Kitchen")/GETPIVOTDATA("Sum of Revenue",$A$26,"Department","Kitchen")</f>
        <v>0.42192496617838315</v>
      </c>
      <c r="E30" s="49"/>
      <c r="F30" s="6" t="s">
        <v>24</v>
      </c>
      <c r="G30" s="42">
        <f t="shared" si="1"/>
        <v>3364712</v>
      </c>
      <c r="H30" s="42">
        <f t="shared" si="0"/>
        <v>1419655.9967999998</v>
      </c>
      <c r="I30" s="43">
        <f t="shared" si="0"/>
        <v>0.42192496617838315</v>
      </c>
      <c r="J30" s="6"/>
    </row>
    <row r="31" spans="1:10" x14ac:dyDescent="0.3">
      <c r="A31" s="16" t="s">
        <v>26</v>
      </c>
      <c r="B31" s="31">
        <v>2953711</v>
      </c>
      <c r="C31" s="12">
        <v>1171314.297</v>
      </c>
      <c r="D31">
        <f>GETPIVOTDATA("Sum of Gross Profit",$A$26,"Department","Seasonal")/GETPIVOTDATA("Sum of Revenue",$A$26,"Department","Seasonal")</f>
        <v>0.39655683883765203</v>
      </c>
      <c r="E31" s="49"/>
      <c r="F31" s="6" t="s">
        <v>26</v>
      </c>
      <c r="G31" s="42">
        <f t="shared" si="1"/>
        <v>2953711</v>
      </c>
      <c r="H31" s="42">
        <f t="shared" si="0"/>
        <v>1171314.297</v>
      </c>
      <c r="I31" s="43">
        <f t="shared" si="0"/>
        <v>0.39655683883765203</v>
      </c>
      <c r="J31" s="6"/>
    </row>
    <row r="32" spans="1:10" x14ac:dyDescent="0.3">
      <c r="A32" s="17" t="s">
        <v>78</v>
      </c>
      <c r="B32" s="30">
        <v>39923827</v>
      </c>
      <c r="C32" s="14">
        <v>13741438.770099999</v>
      </c>
      <c r="E32" s="49"/>
      <c r="F32" s="49"/>
      <c r="G32" s="49"/>
      <c r="H32" s="49"/>
      <c r="I32" s="50"/>
      <c r="J32" s="6"/>
    </row>
    <row r="33" spans="1:10" x14ac:dyDescent="0.3">
      <c r="E33" s="49"/>
      <c r="F33" s="49"/>
      <c r="G33" s="49"/>
      <c r="H33" s="49"/>
      <c r="I33" s="49"/>
      <c r="J33" s="6"/>
    </row>
    <row r="35" spans="1:10" x14ac:dyDescent="0.3">
      <c r="A35" s="5" t="s">
        <v>81</v>
      </c>
    </row>
    <row r="36" spans="1:10" x14ac:dyDescent="0.3">
      <c r="A36" s="15" t="s">
        <v>87</v>
      </c>
      <c r="B36" s="15" t="s">
        <v>1</v>
      </c>
      <c r="C36" s="29"/>
      <c r="D36" s="18"/>
      <c r="E36" s="22"/>
    </row>
    <row r="37" spans="1:10" x14ac:dyDescent="0.3">
      <c r="A37" s="37" t="s">
        <v>0</v>
      </c>
      <c r="B37" s="39" t="s">
        <v>22</v>
      </c>
      <c r="C37" t="s">
        <v>27</v>
      </c>
      <c r="D37" s="40" t="s">
        <v>28</v>
      </c>
      <c r="E37" s="38" t="s">
        <v>78</v>
      </c>
    </row>
    <row r="38" spans="1:10" x14ac:dyDescent="0.3">
      <c r="A38" s="23" t="s">
        <v>10</v>
      </c>
      <c r="B38" s="35">
        <v>254632.07439999995</v>
      </c>
      <c r="C38" s="20">
        <v>1512.8498000000145</v>
      </c>
      <c r="D38" s="20">
        <v>323952.49960000004</v>
      </c>
      <c r="E38" s="32">
        <v>580097.42379999999</v>
      </c>
    </row>
    <row r="39" spans="1:10" x14ac:dyDescent="0.3">
      <c r="A39" s="16" t="s">
        <v>11</v>
      </c>
      <c r="B39" s="31">
        <v>84410.102899999998</v>
      </c>
      <c r="C39" s="3">
        <v>23922.958399999978</v>
      </c>
      <c r="D39" s="3">
        <v>471969.32339999988</v>
      </c>
      <c r="E39" s="33">
        <v>580302.38469999982</v>
      </c>
    </row>
    <row r="40" spans="1:10" x14ac:dyDescent="0.3">
      <c r="A40" s="16" t="s">
        <v>12</v>
      </c>
      <c r="B40" s="31">
        <v>113741.01389999998</v>
      </c>
      <c r="C40" s="3">
        <v>-7377.0448000000051</v>
      </c>
      <c r="D40" s="3">
        <v>179636.69059999997</v>
      </c>
      <c r="E40" s="33">
        <v>286000.65969999996</v>
      </c>
    </row>
    <row r="41" spans="1:10" x14ac:dyDescent="0.3">
      <c r="A41" s="16" t="s">
        <v>13</v>
      </c>
      <c r="B41" s="31">
        <v>222197.04820000005</v>
      </c>
      <c r="C41" s="3">
        <v>-5303.7844000000405</v>
      </c>
      <c r="D41" s="3">
        <v>346491.91839999991</v>
      </c>
      <c r="E41" s="33">
        <v>563385.18219999992</v>
      </c>
    </row>
    <row r="42" spans="1:10" x14ac:dyDescent="0.3">
      <c r="A42" s="16" t="s">
        <v>14</v>
      </c>
      <c r="B42" s="31">
        <v>212521.43540000002</v>
      </c>
      <c r="C42" s="3">
        <v>156276.12200000003</v>
      </c>
      <c r="D42" s="3">
        <v>527033.75299999991</v>
      </c>
      <c r="E42" s="33">
        <v>895831.31039999996</v>
      </c>
    </row>
    <row r="43" spans="1:10" x14ac:dyDescent="0.3">
      <c r="A43" s="16" t="s">
        <v>15</v>
      </c>
      <c r="B43" s="31">
        <v>54658.69230000001</v>
      </c>
      <c r="C43" s="3">
        <v>-35900.425100000022</v>
      </c>
      <c r="D43" s="3">
        <v>291836.40859999997</v>
      </c>
      <c r="E43" s="33">
        <v>310594.67579999997</v>
      </c>
    </row>
    <row r="44" spans="1:10" x14ac:dyDescent="0.3">
      <c r="A44" s="16" t="s">
        <v>16</v>
      </c>
      <c r="B44" s="31">
        <v>132078.91719999997</v>
      </c>
      <c r="C44" s="3">
        <v>49643.145199999955</v>
      </c>
      <c r="D44" s="3">
        <v>331321.22589999996</v>
      </c>
      <c r="E44" s="33">
        <v>513043.2882999999</v>
      </c>
    </row>
    <row r="45" spans="1:10" x14ac:dyDescent="0.3">
      <c r="A45" s="16" t="s">
        <v>17</v>
      </c>
      <c r="B45" s="31">
        <v>220303.4754</v>
      </c>
      <c r="C45" s="3">
        <v>20695.620400000014</v>
      </c>
      <c r="D45" s="3">
        <v>253048.76410000003</v>
      </c>
      <c r="E45" s="33">
        <v>494047.85990000004</v>
      </c>
    </row>
    <row r="46" spans="1:10" x14ac:dyDescent="0.3">
      <c r="A46" s="16" t="s">
        <v>18</v>
      </c>
      <c r="B46" s="31">
        <v>241033.52779999998</v>
      </c>
      <c r="C46" s="3">
        <v>42250.274599999975</v>
      </c>
      <c r="D46" s="3">
        <v>400816.04130000004</v>
      </c>
      <c r="E46" s="33">
        <v>684099.84369999997</v>
      </c>
    </row>
    <row r="47" spans="1:10" x14ac:dyDescent="0.3">
      <c r="A47" s="16" t="s">
        <v>19</v>
      </c>
      <c r="B47" s="31">
        <v>163259.99120000005</v>
      </c>
      <c r="C47" s="3">
        <v>96816.952000000019</v>
      </c>
      <c r="D47" s="3">
        <v>283675.13060000003</v>
      </c>
      <c r="E47" s="33">
        <v>543752.07380000013</v>
      </c>
    </row>
    <row r="48" spans="1:10" x14ac:dyDescent="0.3">
      <c r="A48" s="16" t="s">
        <v>20</v>
      </c>
      <c r="B48" s="31">
        <v>132214.83049999998</v>
      </c>
      <c r="C48" s="3">
        <v>16404.985399999998</v>
      </c>
      <c r="D48" s="3">
        <v>411387.9032</v>
      </c>
      <c r="E48" s="33">
        <v>560007.71909999999</v>
      </c>
    </row>
    <row r="49" spans="1:5" x14ac:dyDescent="0.3">
      <c r="A49" s="24" t="s">
        <v>21</v>
      </c>
      <c r="B49" s="36">
        <v>279319.56970000005</v>
      </c>
      <c r="C49" s="21">
        <v>87472.653899999961</v>
      </c>
      <c r="D49" s="21">
        <v>511825.38379999995</v>
      </c>
      <c r="E49" s="34">
        <v>878617.60739999998</v>
      </c>
    </row>
    <row r="50" spans="1:5" x14ac:dyDescent="0.3">
      <c r="A50" s="24" t="s">
        <v>78</v>
      </c>
      <c r="B50" s="36">
        <v>2110370.6788999997</v>
      </c>
      <c r="C50" s="21">
        <v>446414.30739999987</v>
      </c>
      <c r="D50" s="21">
        <v>4332995.0425000004</v>
      </c>
      <c r="E50" s="27">
        <v>6889780.0287999995</v>
      </c>
    </row>
    <row r="53" spans="1:5" x14ac:dyDescent="0.3">
      <c r="A53" s="5" t="s">
        <v>82</v>
      </c>
    </row>
    <row r="54" spans="1:5" x14ac:dyDescent="0.3">
      <c r="A54" s="15" t="s">
        <v>0</v>
      </c>
      <c r="B54" s="29" t="s">
        <v>83</v>
      </c>
      <c r="C54" s="18" t="s">
        <v>84</v>
      </c>
      <c r="D54" s="18" t="s">
        <v>85</v>
      </c>
      <c r="E54" s="13" t="s">
        <v>88</v>
      </c>
    </row>
    <row r="55" spans="1:5" x14ac:dyDescent="0.3">
      <c r="A55" s="16" t="s">
        <v>10</v>
      </c>
      <c r="B55" s="31">
        <v>187928.8395</v>
      </c>
      <c r="C55" s="3">
        <v>156653</v>
      </c>
      <c r="D55" s="3">
        <v>98469</v>
      </c>
      <c r="E55" s="12">
        <v>118807.8888</v>
      </c>
    </row>
    <row r="56" spans="1:5" x14ac:dyDescent="0.3">
      <c r="A56" s="16" t="s">
        <v>11</v>
      </c>
      <c r="B56" s="31">
        <v>204932.76909999998</v>
      </c>
      <c r="C56" s="3">
        <v>161977</v>
      </c>
      <c r="D56" s="3">
        <v>94696</v>
      </c>
      <c r="E56" s="12">
        <v>138383.08660000001</v>
      </c>
    </row>
    <row r="57" spans="1:5" x14ac:dyDescent="0.3">
      <c r="A57" s="16" t="s">
        <v>12</v>
      </c>
      <c r="B57" s="31">
        <v>104579.04399999999</v>
      </c>
      <c r="C57" s="3">
        <v>167889</v>
      </c>
      <c r="D57" s="3">
        <v>76645</v>
      </c>
      <c r="E57" s="12">
        <v>82391.863899999997</v>
      </c>
    </row>
    <row r="58" spans="1:5" x14ac:dyDescent="0.3">
      <c r="A58" s="16" t="s">
        <v>13</v>
      </c>
      <c r="B58" s="31">
        <v>203284.85750000001</v>
      </c>
      <c r="C58" s="3">
        <v>174438</v>
      </c>
      <c r="D58" s="3">
        <v>86707</v>
      </c>
      <c r="E58" s="12">
        <v>148852.08229999998</v>
      </c>
    </row>
    <row r="59" spans="1:5" x14ac:dyDescent="0.3">
      <c r="A59" s="16" t="s">
        <v>14</v>
      </c>
      <c r="B59" s="31">
        <v>186677.98499999999</v>
      </c>
      <c r="C59" s="3">
        <v>160671</v>
      </c>
      <c r="D59" s="3">
        <v>92585</v>
      </c>
      <c r="E59" s="12">
        <v>162813.71090000001</v>
      </c>
    </row>
    <row r="60" spans="1:5" x14ac:dyDescent="0.3">
      <c r="A60" s="16" t="s">
        <v>15</v>
      </c>
      <c r="B60" s="31">
        <v>144446.3824</v>
      </c>
      <c r="C60" s="3">
        <v>173364</v>
      </c>
      <c r="D60" s="3">
        <v>101246</v>
      </c>
      <c r="E60" s="12">
        <v>105199.9584</v>
      </c>
    </row>
    <row r="61" spans="1:5" x14ac:dyDescent="0.3">
      <c r="A61" s="16" t="s">
        <v>16</v>
      </c>
      <c r="B61" s="31">
        <v>218138.58719999998</v>
      </c>
      <c r="C61" s="3">
        <v>169387</v>
      </c>
      <c r="D61" s="3">
        <v>84301</v>
      </c>
      <c r="E61" s="12">
        <v>130228.36929999999</v>
      </c>
    </row>
    <row r="62" spans="1:5" x14ac:dyDescent="0.3">
      <c r="A62" s="16" t="s">
        <v>17</v>
      </c>
      <c r="B62" s="31">
        <v>148779.83840000001</v>
      </c>
      <c r="C62" s="3">
        <v>164012</v>
      </c>
      <c r="D62" s="3">
        <v>84359</v>
      </c>
      <c r="E62" s="12">
        <v>135514.25659999999</v>
      </c>
    </row>
    <row r="63" spans="1:5" x14ac:dyDescent="0.3">
      <c r="A63" s="16" t="s">
        <v>18</v>
      </c>
      <c r="B63" s="31">
        <v>241310.17850000001</v>
      </c>
      <c r="C63" s="3">
        <v>136012</v>
      </c>
      <c r="D63" s="3">
        <v>86533</v>
      </c>
      <c r="E63" s="12">
        <v>144982.8138</v>
      </c>
    </row>
    <row r="64" spans="1:5" x14ac:dyDescent="0.3">
      <c r="A64" s="16" t="s">
        <v>19</v>
      </c>
      <c r="B64" s="31">
        <v>192207.09390000004</v>
      </c>
      <c r="C64" s="3">
        <v>169363</v>
      </c>
      <c r="D64" s="3">
        <v>86864</v>
      </c>
      <c r="E64" s="12">
        <v>148678.84650000001</v>
      </c>
    </row>
    <row r="65" spans="1:5" x14ac:dyDescent="0.3">
      <c r="A65" s="16" t="s">
        <v>20</v>
      </c>
      <c r="B65" s="31">
        <v>158161.54180000004</v>
      </c>
      <c r="C65" s="3">
        <v>150587</v>
      </c>
      <c r="D65" s="3">
        <v>85240</v>
      </c>
      <c r="E65" s="12">
        <v>128313.85190000001</v>
      </c>
    </row>
    <row r="66" spans="1:5" x14ac:dyDescent="0.3">
      <c r="A66" s="16" t="s">
        <v>21</v>
      </c>
      <c r="B66" s="31">
        <v>267317.90589999995</v>
      </c>
      <c r="C66" s="3">
        <v>164984</v>
      </c>
      <c r="D66" s="3">
        <v>83107</v>
      </c>
      <c r="E66" s="12">
        <v>139637.98910000001</v>
      </c>
    </row>
    <row r="67" spans="1:5" x14ac:dyDescent="0.3">
      <c r="A67" s="17" t="s">
        <v>78</v>
      </c>
      <c r="B67" s="30">
        <v>2257765.0231999997</v>
      </c>
      <c r="C67" s="19">
        <v>1949337</v>
      </c>
      <c r="D67" s="19">
        <v>1060752</v>
      </c>
      <c r="E67" s="14">
        <v>1583804.7181000002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3D8ED-6FFD-4ADF-9597-9B8CCDC3E3A3}">
  <dimension ref="A1:E87"/>
  <sheetViews>
    <sheetView topLeftCell="A70" workbookViewId="0">
      <selection activeCell="D9" sqref="D9"/>
    </sheetView>
  </sheetViews>
  <sheetFormatPr defaultRowHeight="14.4" x14ac:dyDescent="0.3"/>
  <cols>
    <col min="1" max="1" width="27.33203125" bestFit="1" customWidth="1"/>
    <col min="2" max="2" width="26.33203125" bestFit="1" customWidth="1"/>
    <col min="3" max="3" width="24.109375" bestFit="1" customWidth="1"/>
    <col min="4" max="4" width="28" bestFit="1" customWidth="1"/>
    <col min="5" max="5" width="17.5546875" bestFit="1" customWidth="1"/>
  </cols>
  <sheetData>
    <row r="1" spans="1:2" x14ac:dyDescent="0.3">
      <c r="A1" s="5" t="s">
        <v>115</v>
      </c>
    </row>
    <row r="2" spans="1:2" x14ac:dyDescent="0.3">
      <c r="A2" t="s">
        <v>126</v>
      </c>
    </row>
    <row r="5" spans="1:2" x14ac:dyDescent="0.3">
      <c r="B5" s="5" t="s">
        <v>86</v>
      </c>
    </row>
    <row r="6" spans="1:2" x14ac:dyDescent="0.3">
      <c r="A6" t="s">
        <v>100</v>
      </c>
      <c r="B6" s="3">
        <f>SUM(FinancialAnalysis[Revenue])</f>
        <v>39923827</v>
      </c>
    </row>
    <row r="7" spans="1:2" x14ac:dyDescent="0.3">
      <c r="A7" t="s">
        <v>108</v>
      </c>
      <c r="B7" s="3">
        <f>'Pivot Summary'!B15</f>
        <v>39923827</v>
      </c>
    </row>
    <row r="8" spans="1:2" x14ac:dyDescent="0.3">
      <c r="A8" s="5" t="s">
        <v>98</v>
      </c>
      <c r="B8" s="46">
        <f>B6-B7</f>
        <v>0</v>
      </c>
    </row>
    <row r="9" spans="1:2" x14ac:dyDescent="0.3">
      <c r="A9" t="s">
        <v>97</v>
      </c>
      <c r="B9" s="48" t="s">
        <v>99</v>
      </c>
    </row>
    <row r="12" spans="1:2" x14ac:dyDescent="0.3">
      <c r="B12" s="5" t="s">
        <v>87</v>
      </c>
    </row>
    <row r="13" spans="1:2" x14ac:dyDescent="0.3">
      <c r="A13" t="s">
        <v>100</v>
      </c>
      <c r="B13" s="3">
        <f>SUM(FinancialAnalysis[Operating Profit])</f>
        <v>6889780.0287999967</v>
      </c>
    </row>
    <row r="14" spans="1:2" x14ac:dyDescent="0.3">
      <c r="A14" t="s">
        <v>108</v>
      </c>
      <c r="B14" s="3">
        <f>'Pivot Summary'!C23</f>
        <v>6889780.0288000004</v>
      </c>
    </row>
    <row r="15" spans="1:2" x14ac:dyDescent="0.3">
      <c r="A15" s="5" t="s">
        <v>98</v>
      </c>
      <c r="B15" s="46">
        <f>B13-B14</f>
        <v>0</v>
      </c>
    </row>
    <row r="16" spans="1:2" x14ac:dyDescent="0.3">
      <c r="A16" t="s">
        <v>97</v>
      </c>
      <c r="B16" s="48" t="s">
        <v>99</v>
      </c>
    </row>
    <row r="19" spans="1:4" x14ac:dyDescent="0.3">
      <c r="B19" s="5" t="s">
        <v>64</v>
      </c>
    </row>
    <row r="20" spans="1:4" x14ac:dyDescent="0.3">
      <c r="A20" t="s">
        <v>100</v>
      </c>
      <c r="B20" s="3">
        <f>SUM(FinancialAnalysis[Gross Profit])</f>
        <v>13741438.770099998</v>
      </c>
    </row>
    <row r="21" spans="1:4" x14ac:dyDescent="0.3">
      <c r="A21" t="s">
        <v>108</v>
      </c>
      <c r="B21" s="3">
        <f>'Pivot Summary'!C32</f>
        <v>13741438.770099999</v>
      </c>
    </row>
    <row r="22" spans="1:4" x14ac:dyDescent="0.3">
      <c r="A22" s="5" t="s">
        <v>98</v>
      </c>
      <c r="B22" s="11">
        <f>B20-B21</f>
        <v>0</v>
      </c>
    </row>
    <row r="23" spans="1:4" x14ac:dyDescent="0.3">
      <c r="A23" t="s">
        <v>97</v>
      </c>
      <c r="B23" s="48" t="s">
        <v>99</v>
      </c>
    </row>
    <row r="26" spans="1:4" x14ac:dyDescent="0.3">
      <c r="B26" s="5" t="s">
        <v>105</v>
      </c>
      <c r="C26" s="5" t="s">
        <v>106</v>
      </c>
      <c r="D26" s="5" t="s">
        <v>107</v>
      </c>
    </row>
    <row r="27" spans="1:4" x14ac:dyDescent="0.3">
      <c r="A27" t="s">
        <v>100</v>
      </c>
      <c r="B27" s="3">
        <f>SUMIFS(FinancialAnalysis[Operating Profit],FinancialAnalysis[Sales Channel],"Online")</f>
        <v>2110370.6789000002</v>
      </c>
      <c r="C27" s="3">
        <f>SUMIFS(FinancialAnalysis[Operating Profit],FinancialAnalysis[Sales Channel],"Retail")</f>
        <v>446414.30739999993</v>
      </c>
      <c r="D27" s="3">
        <f>SUMIFS(FinancialAnalysis[Operating Profit],FinancialAnalysis[Sales Channel],"Wholesale")</f>
        <v>4332995.0425000004</v>
      </c>
    </row>
    <row r="28" spans="1:4" x14ac:dyDescent="0.3">
      <c r="A28" t="s">
        <v>108</v>
      </c>
      <c r="B28" s="3">
        <f>'Pivot Summary'!B50</f>
        <v>2110370.6788999997</v>
      </c>
      <c r="C28" s="3">
        <f>'Pivot Summary'!C50</f>
        <v>446414.30739999987</v>
      </c>
      <c r="D28" s="3">
        <f>'Pivot Summary'!D50</f>
        <v>4332995.0425000004</v>
      </c>
    </row>
    <row r="29" spans="1:4" x14ac:dyDescent="0.3">
      <c r="A29" s="5" t="s">
        <v>98</v>
      </c>
      <c r="B29" s="46">
        <f>B27-B28</f>
        <v>0</v>
      </c>
      <c r="C29" s="46">
        <f t="shared" ref="C29:D29" si="0">C27-C28</f>
        <v>0</v>
      </c>
      <c r="D29" s="46">
        <f t="shared" si="0"/>
        <v>0</v>
      </c>
    </row>
    <row r="30" spans="1:4" x14ac:dyDescent="0.3">
      <c r="A30" t="s">
        <v>97</v>
      </c>
      <c r="B30" s="48" t="s">
        <v>99</v>
      </c>
      <c r="C30" s="48" t="s">
        <v>99</v>
      </c>
      <c r="D30" s="48" t="s">
        <v>99</v>
      </c>
    </row>
    <row r="33" spans="1:5" x14ac:dyDescent="0.3">
      <c r="B33" s="5" t="s">
        <v>109</v>
      </c>
      <c r="C33" s="5" t="s">
        <v>110</v>
      </c>
      <c r="D33" s="5" t="s">
        <v>111</v>
      </c>
      <c r="E33" s="5" t="s">
        <v>112</v>
      </c>
    </row>
    <row r="34" spans="1:5" x14ac:dyDescent="0.3">
      <c r="A34" t="s">
        <v>100</v>
      </c>
      <c r="B34" s="3">
        <f>SUM(FinancialAnalysis[Marketing Expense])</f>
        <v>2257765.0232000006</v>
      </c>
      <c r="C34" s="3">
        <f>SUM(FinancialAnalysis[Payroll Expense])</f>
        <v>1949337</v>
      </c>
      <c r="D34" s="3">
        <f>SUM(FinancialAnalysis[Allocated Rent Expense])</f>
        <v>1060752</v>
      </c>
      <c r="E34" s="3">
        <f>SUM(FinancialAnalysis[Other Expense])</f>
        <v>1583804.7181000004</v>
      </c>
    </row>
    <row r="35" spans="1:5" x14ac:dyDescent="0.3">
      <c r="A35" t="s">
        <v>108</v>
      </c>
      <c r="B35" s="3">
        <f>'Pivot Summary'!B67</f>
        <v>2257765.0231999997</v>
      </c>
      <c r="C35" s="3">
        <f>'Pivot Summary'!C67</f>
        <v>1949337</v>
      </c>
      <c r="D35" s="3">
        <f>'Pivot Summary'!D67</f>
        <v>1060752</v>
      </c>
      <c r="E35" s="3">
        <f>'Pivot Summary'!E67</f>
        <v>1583804.7181000002</v>
      </c>
    </row>
    <row r="36" spans="1:5" x14ac:dyDescent="0.3">
      <c r="A36" s="5" t="s">
        <v>98</v>
      </c>
      <c r="B36" s="46">
        <f>B34-B35</f>
        <v>0</v>
      </c>
      <c r="C36" s="46">
        <f t="shared" ref="C36:D36" si="1">C34-C35</f>
        <v>0</v>
      </c>
      <c r="D36" s="46">
        <f t="shared" si="1"/>
        <v>0</v>
      </c>
      <c r="E36" s="46">
        <f>E34-E35</f>
        <v>0</v>
      </c>
    </row>
    <row r="37" spans="1:5" x14ac:dyDescent="0.3">
      <c r="A37" t="s">
        <v>97</v>
      </c>
      <c r="B37" s="48" t="s">
        <v>99</v>
      </c>
      <c r="C37" s="48" t="s">
        <v>99</v>
      </c>
      <c r="D37" s="48" t="s">
        <v>99</v>
      </c>
      <c r="E37" s="48" t="s">
        <v>99</v>
      </c>
    </row>
    <row r="40" spans="1:5" x14ac:dyDescent="0.3">
      <c r="B40" s="5" t="s">
        <v>120</v>
      </c>
    </row>
    <row r="41" spans="1:5" x14ac:dyDescent="0.3">
      <c r="A41" t="s">
        <v>90</v>
      </c>
      <c r="B41" s="3">
        <f>SUM(BudgetData[Budget Revenue])</f>
        <v>38483487.712200001</v>
      </c>
    </row>
    <row r="42" spans="1:5" x14ac:dyDescent="0.3">
      <c r="A42" t="s">
        <v>113</v>
      </c>
      <c r="B42" s="3">
        <f>SUM(BudgetData[Budget COGS])</f>
        <v>21548668.79329206</v>
      </c>
    </row>
    <row r="43" spans="1:5" x14ac:dyDescent="0.3">
      <c r="A43" t="s">
        <v>114</v>
      </c>
      <c r="B43" s="3">
        <f>SUM(BudgetData[Budget Operating Expenses])</f>
        <v>9112523.5697413683</v>
      </c>
    </row>
    <row r="44" spans="1:5" x14ac:dyDescent="0.3">
      <c r="A44" t="s">
        <v>91</v>
      </c>
      <c r="B44" s="3">
        <f>SUM(BudgetData[Budget Operating Profit])</f>
        <v>7822295.3491665712</v>
      </c>
    </row>
    <row r="45" spans="1:5" x14ac:dyDescent="0.3">
      <c r="A45" s="5" t="s">
        <v>98</v>
      </c>
      <c r="B45" s="46">
        <f>B41-B42-B43-B44</f>
        <v>0</v>
      </c>
    </row>
    <row r="46" spans="1:5" x14ac:dyDescent="0.3">
      <c r="A46" t="s">
        <v>97</v>
      </c>
      <c r="B46" s="48" t="s">
        <v>99</v>
      </c>
    </row>
    <row r="49" spans="1:2" x14ac:dyDescent="0.3">
      <c r="B49" s="5" t="s">
        <v>116</v>
      </c>
    </row>
    <row r="50" spans="1:2" x14ac:dyDescent="0.3">
      <c r="A50" t="s">
        <v>104</v>
      </c>
      <c r="B50">
        <f>ROWS(FinancialAnalysis[])</f>
        <v>180</v>
      </c>
    </row>
    <row r="51" spans="1:2" x14ac:dyDescent="0.3">
      <c r="A51" t="s">
        <v>102</v>
      </c>
      <c r="B51">
        <f>COUNTIF(FinancialAnalysis[Profit Status],"Profitable")</f>
        <v>141</v>
      </c>
    </row>
    <row r="52" spans="1:2" x14ac:dyDescent="0.3">
      <c r="A52" t="s">
        <v>103</v>
      </c>
      <c r="B52">
        <f>COUNTIF(FinancialAnalysis[Profit Status],"Not Profitable")</f>
        <v>39</v>
      </c>
    </row>
    <row r="53" spans="1:2" x14ac:dyDescent="0.3">
      <c r="A53" s="5" t="s">
        <v>121</v>
      </c>
      <c r="B53" s="47">
        <f>B50-B51-B52</f>
        <v>0</v>
      </c>
    </row>
    <row r="54" spans="1:2" x14ac:dyDescent="0.3">
      <c r="A54" t="s">
        <v>97</v>
      </c>
      <c r="B54" s="48" t="s">
        <v>99</v>
      </c>
    </row>
    <row r="57" spans="1:2" x14ac:dyDescent="0.3">
      <c r="B57" s="5" t="s">
        <v>117</v>
      </c>
    </row>
    <row r="58" spans="1:2" x14ac:dyDescent="0.3">
      <c r="A58" t="s">
        <v>104</v>
      </c>
      <c r="B58">
        <f>ROWS(FinancialAnalysis[])</f>
        <v>180</v>
      </c>
    </row>
    <row r="59" spans="1:2" x14ac:dyDescent="0.3">
      <c r="A59" t="s">
        <v>22</v>
      </c>
      <c r="B59">
        <f>COUNTIF(FinancialAnalysis[Sales Channel],"Online")</f>
        <v>60</v>
      </c>
    </row>
    <row r="60" spans="1:2" x14ac:dyDescent="0.3">
      <c r="A60" t="s">
        <v>27</v>
      </c>
      <c r="B60">
        <f>COUNTIF(FinancialAnalysis[Sales Channel],"Retail")</f>
        <v>60</v>
      </c>
    </row>
    <row r="61" spans="1:2" x14ac:dyDescent="0.3">
      <c r="A61" t="s">
        <v>28</v>
      </c>
      <c r="B61">
        <f>COUNTIF(FinancialAnalysis[Sales Channel],"Wholesale")</f>
        <v>60</v>
      </c>
    </row>
    <row r="62" spans="1:2" x14ac:dyDescent="0.3">
      <c r="A62" s="5" t="s">
        <v>121</v>
      </c>
      <c r="B62" s="5">
        <f>B58-B59-B60-B61</f>
        <v>0</v>
      </c>
    </row>
    <row r="63" spans="1:2" x14ac:dyDescent="0.3">
      <c r="A63" t="s">
        <v>97</v>
      </c>
      <c r="B63" s="48" t="s">
        <v>99</v>
      </c>
    </row>
    <row r="66" spans="1:2" x14ac:dyDescent="0.3">
      <c r="B66" s="5" t="s">
        <v>118</v>
      </c>
    </row>
    <row r="67" spans="1:2" x14ac:dyDescent="0.3">
      <c r="A67" t="s">
        <v>104</v>
      </c>
      <c r="B67">
        <f>ROWS(FinancialAnalysis[])</f>
        <v>180</v>
      </c>
    </row>
    <row r="68" spans="1:2" x14ac:dyDescent="0.3">
      <c r="A68" t="s">
        <v>23</v>
      </c>
      <c r="B68">
        <f>COUNTIF(FinancialAnalysis[Department],"Furniture")</f>
        <v>36</v>
      </c>
    </row>
    <row r="69" spans="1:2" x14ac:dyDescent="0.3">
      <c r="A69" t="s">
        <v>29</v>
      </c>
      <c r="B69">
        <f>COUNTIF(FinancialAnalysis[Department],"Home Decor")</f>
        <v>36</v>
      </c>
    </row>
    <row r="70" spans="1:2" x14ac:dyDescent="0.3">
      <c r="A70" t="s">
        <v>24</v>
      </c>
      <c r="B70">
        <f>COUNTIF(FinancialAnalysis[Department],"Kitchen")</f>
        <v>36</v>
      </c>
    </row>
    <row r="71" spans="1:2" x14ac:dyDescent="0.3">
      <c r="A71" t="s">
        <v>25</v>
      </c>
      <c r="B71">
        <f>COUNTIF(FinancialAnalysis[Department],"Appliances")</f>
        <v>36</v>
      </c>
    </row>
    <row r="72" spans="1:2" x14ac:dyDescent="0.3">
      <c r="A72" t="s">
        <v>26</v>
      </c>
      <c r="B72">
        <f>COUNTIF(FinancialAnalysis[Department],"Seasonal")</f>
        <v>36</v>
      </c>
    </row>
    <row r="73" spans="1:2" x14ac:dyDescent="0.3">
      <c r="A73" s="5" t="s">
        <v>121</v>
      </c>
      <c r="B73" s="5">
        <f>B67-B68-B69-B70-B71-B72</f>
        <v>0</v>
      </c>
    </row>
    <row r="74" spans="1:2" x14ac:dyDescent="0.3">
      <c r="A74" t="s">
        <v>97</v>
      </c>
      <c r="B74" s="48" t="s">
        <v>99</v>
      </c>
    </row>
    <row r="77" spans="1:2" x14ac:dyDescent="0.3">
      <c r="B77" s="5" t="s">
        <v>119</v>
      </c>
    </row>
    <row r="78" spans="1:2" x14ac:dyDescent="0.3">
      <c r="A78" t="s">
        <v>100</v>
      </c>
      <c r="B78">
        <f>COUNTIF(FinancialAnalysis[Revenue],"&lt;0")</f>
        <v>0</v>
      </c>
    </row>
    <row r="79" spans="1:2" x14ac:dyDescent="0.3">
      <c r="A79" t="s">
        <v>101</v>
      </c>
      <c r="B79">
        <f>COUNTIF(MonthlySummary[Actual Revenue],"&lt;0")</f>
        <v>0</v>
      </c>
    </row>
    <row r="80" spans="1:2" x14ac:dyDescent="0.3">
      <c r="A80" t="s">
        <v>97</v>
      </c>
      <c r="B80" s="48" t="s">
        <v>99</v>
      </c>
    </row>
    <row r="83" spans="1:2" x14ac:dyDescent="0.3">
      <c r="B83" s="5" t="s">
        <v>122</v>
      </c>
    </row>
    <row r="84" spans="1:2" x14ac:dyDescent="0.3">
      <c r="A84" t="s">
        <v>123</v>
      </c>
      <c r="B84">
        <f>COUNTBLANK(FinancialAnalysis[Month])</f>
        <v>0</v>
      </c>
    </row>
    <row r="85" spans="1:2" x14ac:dyDescent="0.3">
      <c r="A85" t="s">
        <v>124</v>
      </c>
      <c r="B85">
        <f>COUNTBLANK(FinancialAnalysis[Sales Channel])</f>
        <v>0</v>
      </c>
    </row>
    <row r="86" spans="1:2" x14ac:dyDescent="0.3">
      <c r="A86" t="s">
        <v>125</v>
      </c>
      <c r="B86">
        <f>COUNTBLANK(FinancialAnalysis[Department])</f>
        <v>0</v>
      </c>
    </row>
    <row r="87" spans="1:2" x14ac:dyDescent="0.3">
      <c r="A87" t="s">
        <v>97</v>
      </c>
      <c r="B87" s="48" t="s">
        <v>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C0169DF-9A9C-45D9-A668-A5FC88B70AD5}">
  <ds:schemaRefs/>
</ds:datastoreItem>
</file>

<file path=customXml/itemProps2.xml><?xml version="1.0" encoding="utf-8"?>
<ds:datastoreItem xmlns:ds="http://schemas.openxmlformats.org/officeDocument/2006/customXml" ds:itemID="{6B12D419-FF9A-4125-9246-710D7B305B6D}">
  <ds:schemaRefs/>
</ds:datastoreItem>
</file>

<file path=customXml/itemProps3.xml><?xml version="1.0" encoding="utf-8"?>
<ds:datastoreItem xmlns:ds="http://schemas.openxmlformats.org/officeDocument/2006/customXml" ds:itemID="{7F3B7F84-B563-4E44-856B-9D8784457D26}">
  <ds:schemaRefs/>
</ds:datastoreItem>
</file>

<file path=customXml/itemProps4.xml><?xml version="1.0" encoding="utf-8"?>
<ds:datastoreItem xmlns:ds="http://schemas.openxmlformats.org/officeDocument/2006/customXml" ds:itemID="{0D949A67-7945-4F8E-BE45-1D95819BA46A}">
  <ds:schemaRefs/>
</ds:datastoreItem>
</file>

<file path=customXml/itemProps5.xml><?xml version="1.0" encoding="utf-8"?>
<ds:datastoreItem xmlns:ds="http://schemas.openxmlformats.org/officeDocument/2006/customXml" ds:itemID="{6805B72F-E857-47AB-8B18-2DE8AD273355}">
  <ds:schemaRefs/>
</ds:datastoreItem>
</file>

<file path=customXml/itemProps6.xml><?xml version="1.0" encoding="utf-8"?>
<ds:datastoreItem xmlns:ds="http://schemas.openxmlformats.org/officeDocument/2006/customXml" ds:itemID="{3242C4AA-B281-4840-AB0F-5AA69BFB285C}">
  <ds:schemaRefs/>
</ds:datastoreItem>
</file>

<file path=customXml/itemProps7.xml><?xml version="1.0" encoding="utf-8"?>
<ds:datastoreItem xmlns:ds="http://schemas.openxmlformats.org/officeDocument/2006/customXml" ds:itemID="{83C16B77-9CFF-49C5-9B7E-C8DAF6D6DCFA}">
  <ds:schemaRefs/>
</ds:datastoreItem>
</file>

<file path=customXml/itemProps8.xml><?xml version="1.0" encoding="utf-8"?>
<ds:datastoreItem xmlns:ds="http://schemas.openxmlformats.org/officeDocument/2006/customXml" ds:itemID="{19EB1C5C-4DDE-40AF-BBFA-8D34ECAF9219}">
  <ds:schemaRefs/>
</ds:datastoreItem>
</file>

<file path=customXml/itemProps9.xml><?xml version="1.0" encoding="utf-8"?>
<ds:datastoreItem xmlns:ds="http://schemas.openxmlformats.org/officeDocument/2006/customXml" ds:itemID="{AE2F0090-214A-432D-8DFA-AA7915B84594}">
  <ds:schemaRefs/>
</ds:datastoreItem>
</file>

<file path=customXml/itemProps10.xml><?xml version="1.0" encoding="utf-8"?>
<ds:datastoreItem xmlns:ds="http://schemas.openxmlformats.org/officeDocument/2006/customXml" ds:itemID="{D3A93658-875E-4AA9-9D93-12F3BFF51919}">
  <ds:schemaRefs/>
</ds:datastoreItem>
</file>

<file path=customXml/itemProps11.xml><?xml version="1.0" encoding="utf-8"?>
<ds:datastoreItem xmlns:ds="http://schemas.openxmlformats.org/officeDocument/2006/customXml" ds:itemID="{37629676-9AD5-41FE-85F8-E1DD09BA7037}">
  <ds:schemaRefs/>
</ds:datastoreItem>
</file>

<file path=customXml/itemProps12.xml><?xml version="1.0" encoding="utf-8"?>
<ds:datastoreItem xmlns:ds="http://schemas.openxmlformats.org/officeDocument/2006/customXml" ds:itemID="{2EBFB51D-2A2B-4781-A9EB-BC2B586EB9B9}">
  <ds:schemaRefs/>
</ds:datastoreItem>
</file>

<file path=customXml/itemProps13.xml><?xml version="1.0" encoding="utf-8"?>
<ds:datastoreItem xmlns:ds="http://schemas.openxmlformats.org/officeDocument/2006/customXml" ds:itemID="{471FAE1C-3D59-422D-ABDF-BCF13A5AA672}">
  <ds:schemaRefs/>
</ds:datastoreItem>
</file>

<file path=customXml/itemProps14.xml><?xml version="1.0" encoding="utf-8"?>
<ds:datastoreItem xmlns:ds="http://schemas.openxmlformats.org/officeDocument/2006/customXml" ds:itemID="{D2F3B791-B26B-4982-BF88-D452C2C37568}">
  <ds:schemaRefs/>
</ds:datastoreItem>
</file>

<file path=customXml/itemProps15.xml><?xml version="1.0" encoding="utf-8"?>
<ds:datastoreItem xmlns:ds="http://schemas.openxmlformats.org/officeDocument/2006/customXml" ds:itemID="{90281ABA-A0C2-4622-B37C-B7A468B54BD8}">
  <ds:schemaRefs/>
</ds:datastoreItem>
</file>

<file path=customXml/itemProps16.xml><?xml version="1.0" encoding="utf-8"?>
<ds:datastoreItem xmlns:ds="http://schemas.openxmlformats.org/officeDocument/2006/customXml" ds:itemID="{96EFA126-5A41-46C4-BB68-F0B88A63C808}">
  <ds:schemaRefs/>
</ds:datastoreItem>
</file>

<file path=customXml/itemProps17.xml><?xml version="1.0" encoding="utf-8"?>
<ds:datastoreItem xmlns:ds="http://schemas.openxmlformats.org/officeDocument/2006/customXml" ds:itemID="{1F517389-06A8-4A62-9917-7D09E5E971F9}">
  <ds:schemaRefs/>
</ds:datastoreItem>
</file>

<file path=customXml/itemProps18.xml><?xml version="1.0" encoding="utf-8"?>
<ds:datastoreItem xmlns:ds="http://schemas.openxmlformats.org/officeDocument/2006/customXml" ds:itemID="{EC358F72-44E0-492E-A9B3-E762BCE191A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Raw Data</vt:lpstr>
      <vt:lpstr>Budget</vt:lpstr>
      <vt:lpstr>Analysis</vt:lpstr>
      <vt:lpstr>Monthly Summary</vt:lpstr>
      <vt:lpstr>Pivot Summary</vt:lpstr>
      <vt:lpstr>Reconcilation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Andy Quinones</dc:creator>
  <cp:lastModifiedBy>Andy Quinones</cp:lastModifiedBy>
  <dcterms:created xsi:type="dcterms:W3CDTF">2026-06-02T00:04:09Z</dcterms:created>
  <dcterms:modified xsi:type="dcterms:W3CDTF">2026-06-03T13:13:44Z</dcterms:modified>
</cp:coreProperties>
</file>